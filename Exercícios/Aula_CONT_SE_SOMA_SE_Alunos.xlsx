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SFREITAS\Downloads\"/>
    </mc:Choice>
  </mc:AlternateContent>
  <xr:revisionPtr revIDLastSave="0" documentId="13_ncr:1_{B68097A7-28E2-481F-9E7A-1E370CA27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- CONT.SE" sheetId="1" r:id="rId1"/>
    <sheet name="2 - SOMA.SE" sheetId="2" r:id="rId2"/>
    <sheet name="3 - Estoque" sheetId="3" r:id="rId3"/>
    <sheet name="4 - Desaf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5" i="1"/>
  <c r="I7" i="1"/>
  <c r="I5" i="1"/>
  <c r="I6" i="1"/>
</calcChain>
</file>

<file path=xl/sharedStrings.xml><?xml version="1.0" encoding="utf-8"?>
<sst xmlns="http://schemas.openxmlformats.org/spreadsheetml/2006/main" count="218" uniqueCount="116">
  <si>
    <t>ATIVIDADE 1 — CONT.SE</t>
  </si>
  <si>
    <t>Use SE para classificar os alunos e CONT.SE para criar um resumo das ocorrências.</t>
  </si>
  <si>
    <t>Aluno</t>
  </si>
  <si>
    <t>Turma</t>
  </si>
  <si>
    <t>Situação</t>
  </si>
  <si>
    <t>Nota</t>
  </si>
  <si>
    <t>Frequência</t>
  </si>
  <si>
    <t>Resultado</t>
  </si>
  <si>
    <t>Resumo</t>
  </si>
  <si>
    <t>Quantidade</t>
  </si>
  <si>
    <t>Ana</t>
  </si>
  <si>
    <t>1109</t>
  </si>
  <si>
    <t>Presente</t>
  </si>
  <si>
    <t>Presentes</t>
  </si>
  <si>
    <t>Bruno</t>
  </si>
  <si>
    <t>Falta</t>
  </si>
  <si>
    <t>Faltas</t>
  </si>
  <si>
    <t>Carla</t>
  </si>
  <si>
    <t>Justificadas</t>
  </si>
  <si>
    <t>Diego</t>
  </si>
  <si>
    <t>Justificada</t>
  </si>
  <si>
    <t>Aprovados</t>
  </si>
  <si>
    <t>Eduarda</t>
  </si>
  <si>
    <t>Recuperação</t>
  </si>
  <si>
    <t>Felipe</t>
  </si>
  <si>
    <t>Reprovados</t>
  </si>
  <si>
    <t>Gabriela</t>
  </si>
  <si>
    <t>1110</t>
  </si>
  <si>
    <t>Henrique</t>
  </si>
  <si>
    <t>Isabela</t>
  </si>
  <si>
    <t>João</t>
  </si>
  <si>
    <t>Karen</t>
  </si>
  <si>
    <t>Lucas</t>
  </si>
  <si>
    <t>REGRAS</t>
  </si>
  <si>
    <t>Resultado: Nota &gt;= 7 e Frequência &gt;= 75% = "Aprovado"; Nota &gt;= 5 e Frequência &gt;= 75% = "Recuperação"; demais = "Reprovado".</t>
  </si>
  <si>
    <t>Use CONT.SE para contar Presente, Falta e Justificada.</t>
  </si>
  <si>
    <t>Use CONT.SE novamente para contar Aprovado, Recuperação e Reprovado.</t>
  </si>
  <si>
    <t>ATIVIDADE 2 — SOMA.SE</t>
  </si>
  <si>
    <t>Some valores de vendas somente quando uma condição for atendida.</t>
  </si>
  <si>
    <t>Vendedor</t>
  </si>
  <si>
    <t>Setor</t>
  </si>
  <si>
    <t>Produto</t>
  </si>
  <si>
    <t>Valor da Venda</t>
  </si>
  <si>
    <t>Pagamento</t>
  </si>
  <si>
    <t>Critério</t>
  </si>
  <si>
    <t>Total</t>
  </si>
  <si>
    <t>Amanda</t>
  </si>
  <si>
    <t>Informática</t>
  </si>
  <si>
    <t>Teclado</t>
  </si>
  <si>
    <t>PIX</t>
  </si>
  <si>
    <t>Monitor</t>
  </si>
  <si>
    <t>Cartão</t>
  </si>
  <si>
    <t>Acessórios</t>
  </si>
  <si>
    <t>Camila</t>
  </si>
  <si>
    <t>Headset</t>
  </si>
  <si>
    <t>SSD</t>
  </si>
  <si>
    <t>Boleto</t>
  </si>
  <si>
    <t>Mouse</t>
  </si>
  <si>
    <t>Notebook</t>
  </si>
  <si>
    <t>Webcam</t>
  </si>
  <si>
    <t>Memória</t>
  </si>
  <si>
    <t>Cabo HDMI</t>
  </si>
  <si>
    <t>Fonte</t>
  </si>
  <si>
    <t>SOMA.SE possui três partes: intervalo do critério; critério; intervalo que será somado.</t>
  </si>
  <si>
    <t>Some o Valor da Venda quando o Setor for "Informática" e depois "Acessórios".</t>
  </si>
  <si>
    <t>Depois some as vendas realizadas por PIX, Cartão e Boleto.</t>
  </si>
  <si>
    <t>ATIVIDADE 3 — SE + CONT.SE + SOMA.SE</t>
  </si>
  <si>
    <t>Classifique o estoque, aplique formatação condicional e produza um resumo.</t>
  </si>
  <si>
    <t>Categoria</t>
  </si>
  <si>
    <t>Estoque Mínimo</t>
  </si>
  <si>
    <t>Preço Unitário</t>
  </si>
  <si>
    <t>Valor Estoque</t>
  </si>
  <si>
    <t>Reposição</t>
  </si>
  <si>
    <t>Qtd. de Produtos</t>
  </si>
  <si>
    <t>Valor Total</t>
  </si>
  <si>
    <t>Periféricos</t>
  </si>
  <si>
    <t>Monitores</t>
  </si>
  <si>
    <t>Armazenamento</t>
  </si>
  <si>
    <t>SSD 500GB</t>
  </si>
  <si>
    <t>HD 1TB</t>
  </si>
  <si>
    <t>Monitor 24</t>
  </si>
  <si>
    <t>Pendrive</t>
  </si>
  <si>
    <t>Mousepad</t>
  </si>
  <si>
    <t>SSD 1TB</t>
  </si>
  <si>
    <t>Monitor 27</t>
  </si>
  <si>
    <t>Valor Estoque = Quantidade × Preço Unitário.</t>
  </si>
  <si>
    <t>Situação: se Quantidade &lt; Estoque Mínimo, "Baixo"; caso contrário, "Adequado".</t>
  </si>
  <si>
    <t>Reposição: se Situação = "Baixo", Estoque Mínimo − Quantidade; caso contrário, 0.</t>
  </si>
  <si>
    <t>Use CONT.SE para contar quantos produtos existem em cada categoria.</t>
  </si>
  <si>
    <t>Use SOMA.SE para somar o Valor Estoque de cada categoria.</t>
  </si>
  <si>
    <t>ATIVIDADE 4 — DESAFIO GERAL</t>
  </si>
  <si>
    <t>Resolva usando SE, CONT.SE, SOMA.SE e formatação condicional.</t>
  </si>
  <si>
    <t>Atendimento</t>
  </si>
  <si>
    <t>Tipo</t>
  </si>
  <si>
    <t>Responsável</t>
  </si>
  <si>
    <t>Valor</t>
  </si>
  <si>
    <t>Prazo</t>
  </si>
  <si>
    <t>Dias Usados</t>
  </si>
  <si>
    <t>Status</t>
  </si>
  <si>
    <t>Instalação</t>
  </si>
  <si>
    <t>Carlos</t>
  </si>
  <si>
    <t>No prazo</t>
  </si>
  <si>
    <t>Manutenção</t>
  </si>
  <si>
    <t>Atrasados</t>
  </si>
  <si>
    <t>Formatação</t>
  </si>
  <si>
    <t>Instalações</t>
  </si>
  <si>
    <t>Manutenções</t>
  </si>
  <si>
    <t>Formatações</t>
  </si>
  <si>
    <t>Valor Instalações</t>
  </si>
  <si>
    <t>Valor Manutenções</t>
  </si>
  <si>
    <t>Status: se Dias Usados &lt;= Prazo, "No prazo"; caso contrário, "Atrasado".</t>
  </si>
  <si>
    <t>Use CONT.SE para contar os status e os tipos de atendimento.</t>
  </si>
  <si>
    <t>Use SOMA.SE para somar o valor de Instalações e Manutenções.</t>
  </si>
  <si>
    <t>Use formatação condicional para diferenciar No prazo e Atrasado.</t>
  </si>
  <si>
    <t>=SE(E(D5&gt;=7;E5&gt;=75%);"Aprovado";
SE(E(D5&gt;=5;E5&gt;=75%);"Recuperação";
"Reprovado"))</t>
  </si>
  <si>
    <t>=CONT.SE(C5:C16;"Presente")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</si>
</sst>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>
    <font>
      <sz val="11"/>
      <name val="Carlito"/>
    </font>
    <font>
      <b/>
      <sz val="16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8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41566"/>
      </patternFill>
    </fill>
    <fill>
      <patternFill patternType="solid">
        <fgColor rgb="FFF2DCEE"/>
      </patternFill>
    </fill>
    <fill>
      <patternFill patternType="solid">
        <fgColor rgb="FFA72493"/>
      </patternFill>
    </fill>
    <fill>
      <patternFill patternType="solid">
        <fgColor rgb="FFF3F3F3"/>
      </patternFill>
    </fill>
    <fill>
      <patternFill patternType="solid">
        <fgColor rgb="FFA72493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9" fontId="0" fillId="0" borderId="0" xfId="0" applyNumberFormat="1" applyFont="1" applyFill="1" applyBorder="1"/>
    <xf numFmtId="9" fontId="0" fillId="0" borderId="7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164" fontId="0" fillId="0" borderId="7" xfId="0" applyNumberFormat="1" applyFont="1" applyFill="1" applyBorder="1"/>
    <xf numFmtId="0" fontId="0" fillId="0" borderId="0" xfId="0" quotePrefix="1"/>
    <xf numFmtId="0" fontId="0" fillId="0" borderId="5" xfId="0" applyNumberFormat="1" applyFont="1" applyFill="1" applyBorder="1" applyAlignment="1">
      <alignment horizontal="center" vertical="center"/>
    </xf>
    <xf numFmtId="0" fontId="3" fillId="4" borderId="12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horizontal="center"/>
    </xf>
    <xf numFmtId="0" fontId="4" fillId="4" borderId="12" xfId="0" quotePrefix="1" applyNumberFormat="1" applyFont="1" applyFill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5" borderId="9" xfId="0" applyNumberFormat="1" applyFont="1" applyFill="1" applyBorder="1" applyAlignment="1">
      <alignment horizontal="left" vertical="center" wrapText="1"/>
    </xf>
    <xf numFmtId="0" fontId="0" fillId="5" borderId="10" xfId="0" applyNumberFormat="1" applyFont="1" applyFill="1" applyBorder="1" applyAlignment="1">
      <alignment horizontal="left" vertical="center" wrapText="1"/>
    </xf>
    <xf numFmtId="0" fontId="0" fillId="5" borderId="11" xfId="0" applyNumberFormat="1" applyFont="1" applyFill="1" applyBorder="1" applyAlignment="1">
      <alignment horizontal="left" vertical="center" wrapText="1"/>
    </xf>
    <xf numFmtId="0" fontId="0" fillId="5" borderId="9" xfId="0" applyNumberFormat="1" applyFont="1" applyFill="1" applyBorder="1" applyAlignment="1">
      <alignment horizontal="left" vertical="center"/>
    </xf>
    <xf numFmtId="0" fontId="4" fillId="4" borderId="12" xfId="0" quotePrefix="1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/>
    </xf>
    <xf numFmtId="0" fontId="0" fillId="5" borderId="9" xfId="0" applyNumberFormat="1" applyFont="1" applyFill="1" applyBorder="1" applyAlignment="1">
      <alignment wrapText="1"/>
    </xf>
    <xf numFmtId="0" fontId="0" fillId="5" borderId="10" xfId="0" applyNumberFormat="1" applyFont="1" applyFill="1" applyBorder="1" applyAlignment="1">
      <alignment wrapText="1"/>
    </xf>
    <xf numFmtId="0" fontId="0" fillId="5" borderId="11" xfId="0" applyNumberFormat="1" applyFont="1" applyFill="1" applyBorder="1" applyAlignment="1">
      <alignment wrapText="1"/>
    </xf>
    <xf numFmtId="0" fontId="0" fillId="6" borderId="0" xfId="0" applyFill="1"/>
  </cellXfs>
  <cellStyles count="1">
    <cellStyle name="Normal" xfId="0" builtinId="0"/>
  </cellStyles>
  <dxfs count="7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A72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45" zoomScaleNormal="145" workbookViewId="0">
      <selection activeCell="F7" sqref="F7"/>
    </sheetView>
  </sheetViews>
  <sheetFormatPr defaultRowHeight="14.25"/>
  <cols>
    <col min="1" max="1" width="18" customWidth="1"/>
    <col min="2" max="2" width="10" customWidth="1"/>
    <col min="3" max="3" width="15" customWidth="1"/>
    <col min="4" max="4" width="10" customWidth="1"/>
    <col min="5" max="5" width="12" customWidth="1"/>
    <col min="6" max="6" width="18" customWidth="1"/>
    <col min="7" max="7" width="2.625" customWidth="1"/>
    <col min="8" max="8" width="18" customWidth="1"/>
    <col min="9" max="9" width="21.5" customWidth="1"/>
  </cols>
  <sheetData>
    <row r="1" spans="1:9" ht="27.9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3.950000000000003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</row>
    <row r="3" spans="1:9" ht="27.9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H3" s="12" t="s">
        <v>8</v>
      </c>
      <c r="I3" s="12" t="s">
        <v>9</v>
      </c>
    </row>
    <row r="4" spans="1:9" ht="37.5" customHeight="1">
      <c r="A4" s="17"/>
      <c r="B4" s="17"/>
      <c r="C4" s="17"/>
      <c r="D4" s="17"/>
      <c r="E4" s="25" t="s">
        <v>114</v>
      </c>
      <c r="F4" s="25"/>
      <c r="H4" s="18"/>
      <c r="I4" s="19" t="s">
        <v>115</v>
      </c>
    </row>
    <row r="5" spans="1:9">
      <c r="A5" s="4" t="s">
        <v>10</v>
      </c>
      <c r="B5" s="5" t="s">
        <v>11</v>
      </c>
      <c r="C5" s="5" t="s">
        <v>12</v>
      </c>
      <c r="D5" s="5">
        <v>8</v>
      </c>
      <c r="E5" s="10">
        <v>0.9</v>
      </c>
      <c r="F5" s="16" t="str">
        <f>IF(AND(D5&gt;=7,E5&gt;=75%),"Aprovado",
IF(AND(D5&gt;=5,E5&gt;=75%),"Recuperação",
"Reprovado"))</f>
        <v>Aprovado</v>
      </c>
      <c r="H5" t="s">
        <v>13</v>
      </c>
      <c r="I5" s="15">
        <f>COUNTIF($C$5:$C$16,"Presente")</f>
        <v>7</v>
      </c>
    </row>
    <row r="6" spans="1:9">
      <c r="A6" s="4" t="s">
        <v>14</v>
      </c>
      <c r="B6" s="5" t="s">
        <v>11</v>
      </c>
      <c r="C6" s="5" t="s">
        <v>15</v>
      </c>
      <c r="D6" s="5">
        <v>6</v>
      </c>
      <c r="E6" s="10">
        <v>0.72</v>
      </c>
      <c r="F6" s="16" t="str">
        <f>IF(AND(D6&gt;=7,E6&gt;=75%),"Aprovado",
IF(AND(D6&gt;=5,E6&gt;=75%),"Recuperação",
"Reprovado"))</f>
        <v>Reprovado</v>
      </c>
      <c r="H6" t="s">
        <v>16</v>
      </c>
      <c r="I6" s="15">
        <f>COUNTIF($C$5:$C$16,"Falta")</f>
        <v>3</v>
      </c>
    </row>
    <row r="7" spans="1:9">
      <c r="A7" s="4" t="s">
        <v>17</v>
      </c>
      <c r="B7" s="5" t="s">
        <v>11</v>
      </c>
      <c r="C7" s="5" t="s">
        <v>12</v>
      </c>
      <c r="D7" s="5">
        <v>7.5</v>
      </c>
      <c r="E7" s="10">
        <v>0.85</v>
      </c>
      <c r="F7" s="16"/>
      <c r="H7" t="s">
        <v>18</v>
      </c>
      <c r="I7" s="15">
        <f>COUNTIF($C$5:$C$16,"Justificada")</f>
        <v>2</v>
      </c>
    </row>
    <row r="8" spans="1:9">
      <c r="A8" s="4" t="s">
        <v>19</v>
      </c>
      <c r="B8" s="5" t="s">
        <v>11</v>
      </c>
      <c r="C8" s="5" t="s">
        <v>20</v>
      </c>
      <c r="D8" s="5">
        <v>5.5</v>
      </c>
      <c r="E8" s="10">
        <v>0.8</v>
      </c>
      <c r="F8" s="16"/>
      <c r="H8" s="32"/>
      <c r="I8" s="32"/>
    </row>
    <row r="9" spans="1:9">
      <c r="A9" s="4" t="s">
        <v>22</v>
      </c>
      <c r="B9" s="5" t="s">
        <v>11</v>
      </c>
      <c r="C9" s="5" t="s">
        <v>12</v>
      </c>
      <c r="D9" s="5">
        <v>9</v>
      </c>
      <c r="E9" s="10">
        <v>0.95</v>
      </c>
      <c r="F9" s="16"/>
      <c r="H9" t="s">
        <v>21</v>
      </c>
      <c r="I9" s="15"/>
    </row>
    <row r="10" spans="1:9">
      <c r="A10" s="4" t="s">
        <v>24</v>
      </c>
      <c r="B10" s="5" t="s">
        <v>11</v>
      </c>
      <c r="C10" s="5" t="s">
        <v>15</v>
      </c>
      <c r="D10" s="5">
        <v>4.5</v>
      </c>
      <c r="E10" s="10">
        <v>0.68</v>
      </c>
      <c r="F10" s="16"/>
      <c r="H10" t="s">
        <v>23</v>
      </c>
      <c r="I10" s="15"/>
    </row>
    <row r="11" spans="1:9">
      <c r="A11" s="4" t="s">
        <v>26</v>
      </c>
      <c r="B11" s="5" t="s">
        <v>27</v>
      </c>
      <c r="C11" s="5" t="s">
        <v>12</v>
      </c>
      <c r="D11" s="5">
        <v>6.5</v>
      </c>
      <c r="E11" s="10">
        <v>0.82</v>
      </c>
      <c r="F11" s="16"/>
      <c r="H11" t="s">
        <v>25</v>
      </c>
      <c r="I11" s="15"/>
    </row>
    <row r="12" spans="1:9">
      <c r="A12" s="4" t="s">
        <v>28</v>
      </c>
      <c r="B12" s="5" t="s">
        <v>27</v>
      </c>
      <c r="C12" s="5" t="s">
        <v>12</v>
      </c>
      <c r="D12" s="5">
        <v>7</v>
      </c>
      <c r="E12" s="10">
        <v>0.88</v>
      </c>
      <c r="F12" s="16"/>
    </row>
    <row r="13" spans="1:9">
      <c r="A13" s="4" t="s">
        <v>29</v>
      </c>
      <c r="B13" s="5" t="s">
        <v>27</v>
      </c>
      <c r="C13" s="5" t="s">
        <v>20</v>
      </c>
      <c r="D13" s="5">
        <v>8.5</v>
      </c>
      <c r="E13" s="10">
        <v>0.91</v>
      </c>
      <c r="F13" s="16"/>
    </row>
    <row r="14" spans="1:9">
      <c r="A14" s="4" t="s">
        <v>30</v>
      </c>
      <c r="B14" s="5" t="s">
        <v>27</v>
      </c>
      <c r="C14" s="5" t="s">
        <v>15</v>
      </c>
      <c r="D14" s="5">
        <v>5</v>
      </c>
      <c r="E14" s="10">
        <v>0.74</v>
      </c>
      <c r="F14" s="16"/>
    </row>
    <row r="15" spans="1:9">
      <c r="A15" s="4" t="s">
        <v>31</v>
      </c>
      <c r="B15" s="5" t="s">
        <v>27</v>
      </c>
      <c r="C15" s="5" t="s">
        <v>12</v>
      </c>
      <c r="D15" s="5">
        <v>9.5</v>
      </c>
      <c r="E15" s="10">
        <v>0.97</v>
      </c>
      <c r="F15" s="16"/>
    </row>
    <row r="16" spans="1:9">
      <c r="A16" s="7" t="s">
        <v>32</v>
      </c>
      <c r="B16" s="8" t="s">
        <v>27</v>
      </c>
      <c r="C16" s="8" t="s">
        <v>12</v>
      </c>
      <c r="D16" s="8">
        <v>6</v>
      </c>
      <c r="E16" s="11">
        <v>0.79</v>
      </c>
      <c r="F16" s="16"/>
    </row>
    <row r="17" spans="1:8" ht="15">
      <c r="A17" s="28" t="s">
        <v>33</v>
      </c>
      <c r="B17" s="28"/>
      <c r="C17" s="28"/>
      <c r="D17" s="28"/>
      <c r="E17" s="28"/>
      <c r="F17" s="28"/>
    </row>
    <row r="18" spans="1:8">
      <c r="A18" s="24" t="s">
        <v>34</v>
      </c>
      <c r="B18" s="24"/>
      <c r="C18" s="24"/>
      <c r="D18" s="24"/>
      <c r="E18" s="24"/>
      <c r="F18" s="24"/>
      <c r="G18" s="24"/>
      <c r="H18" s="24"/>
    </row>
    <row r="19" spans="1:8">
      <c r="A19" s="21" t="s">
        <v>35</v>
      </c>
      <c r="B19" s="22"/>
      <c r="C19" s="22"/>
      <c r="D19" s="22"/>
      <c r="E19" s="22"/>
      <c r="F19" s="23"/>
      <c r="G19" s="20"/>
      <c r="H19" s="20"/>
    </row>
    <row r="20" spans="1:8">
      <c r="A20" s="21" t="s">
        <v>36</v>
      </c>
      <c r="B20" s="22"/>
      <c r="C20" s="22"/>
      <c r="D20" s="22"/>
      <c r="E20" s="22"/>
      <c r="F20" s="23"/>
      <c r="G20" s="20"/>
      <c r="H20" s="20"/>
    </row>
  </sheetData>
  <mergeCells count="7">
    <mergeCell ref="A20:F20"/>
    <mergeCell ref="A18:H18"/>
    <mergeCell ref="E4:F4"/>
    <mergeCell ref="A1:I1"/>
    <mergeCell ref="A2:I2"/>
    <mergeCell ref="A17:F17"/>
    <mergeCell ref="A19:F19"/>
  </mergeCells>
  <conditionalFormatting sqref="C5:C16">
    <cfRule type="expression" dxfId="6" priority="1">
      <formula>C5="Presente"</formula>
    </cfRule>
    <cfRule type="expression" dxfId="5" priority="2">
      <formula>C5="Falta"</formula>
    </cfRule>
    <cfRule type="expression" dxfId="4" priority="3">
      <formula>C5="Justificada"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B1" zoomScale="160" zoomScaleNormal="160" workbookViewId="0">
      <selection activeCell="I4" sqref="I4"/>
    </sheetView>
  </sheetViews>
  <sheetFormatPr defaultRowHeight="14.25"/>
  <cols>
    <col min="1" max="1" width="17" customWidth="1"/>
    <col min="2" max="2" width="15" customWidth="1"/>
    <col min="3" max="3" width="18" customWidth="1"/>
    <col min="4" max="4" width="12" customWidth="1"/>
    <col min="5" max="6" width="16" customWidth="1"/>
    <col min="8" max="8" width="18" customWidth="1"/>
    <col min="9" max="9" width="16" customWidth="1"/>
  </cols>
  <sheetData>
    <row r="1" spans="1:10" ht="27.95" customHeight="1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3.950000000000003" customHeight="1">
      <c r="A2" s="27" t="s">
        <v>38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7.95" customHeight="1">
      <c r="A3" s="1" t="s">
        <v>39</v>
      </c>
      <c r="B3" s="2" t="s">
        <v>40</v>
      </c>
      <c r="C3" s="2" t="s">
        <v>41</v>
      </c>
      <c r="D3" s="2" t="s">
        <v>9</v>
      </c>
      <c r="E3" s="2" t="s">
        <v>42</v>
      </c>
      <c r="F3" s="3" t="s">
        <v>43</v>
      </c>
      <c r="H3" s="12" t="s">
        <v>44</v>
      </c>
      <c r="I3" s="12" t="s">
        <v>45</v>
      </c>
    </row>
    <row r="4" spans="1:10">
      <c r="A4" s="4" t="s">
        <v>46</v>
      </c>
      <c r="B4" s="5" t="s">
        <v>47</v>
      </c>
      <c r="C4" s="5" t="s">
        <v>48</v>
      </c>
      <c r="D4" s="5">
        <v>3</v>
      </c>
      <c r="E4" s="13">
        <v>255</v>
      </c>
      <c r="F4" s="6" t="s">
        <v>49</v>
      </c>
      <c r="H4" t="s">
        <v>47</v>
      </c>
      <c r="I4" s="13"/>
    </row>
    <row r="5" spans="1:10">
      <c r="A5" s="4" t="s">
        <v>14</v>
      </c>
      <c r="B5" s="5" t="s">
        <v>47</v>
      </c>
      <c r="C5" s="5" t="s">
        <v>50</v>
      </c>
      <c r="D5" s="5">
        <v>2</v>
      </c>
      <c r="E5" s="13">
        <v>1500</v>
      </c>
      <c r="F5" s="6" t="s">
        <v>51</v>
      </c>
      <c r="H5" t="s">
        <v>52</v>
      </c>
      <c r="I5" s="13"/>
    </row>
    <row r="6" spans="1:10">
      <c r="A6" s="4" t="s">
        <v>53</v>
      </c>
      <c r="B6" s="5" t="s">
        <v>52</v>
      </c>
      <c r="C6" s="5" t="s">
        <v>54</v>
      </c>
      <c r="D6" s="5">
        <v>4</v>
      </c>
      <c r="E6" s="13">
        <v>480</v>
      </c>
      <c r="F6" s="6" t="s">
        <v>49</v>
      </c>
      <c r="H6" t="s">
        <v>49</v>
      </c>
      <c r="I6" s="13"/>
    </row>
    <row r="7" spans="1:10">
      <c r="A7" s="4" t="s">
        <v>19</v>
      </c>
      <c r="B7" s="5" t="s">
        <v>47</v>
      </c>
      <c r="C7" s="5" t="s">
        <v>55</v>
      </c>
      <c r="D7" s="5">
        <v>3</v>
      </c>
      <c r="E7" s="13">
        <v>780</v>
      </c>
      <c r="F7" s="6" t="s">
        <v>56</v>
      </c>
      <c r="H7" t="s">
        <v>51</v>
      </c>
      <c r="I7" s="13"/>
    </row>
    <row r="8" spans="1:10">
      <c r="A8" s="4" t="s">
        <v>22</v>
      </c>
      <c r="B8" s="5" t="s">
        <v>52</v>
      </c>
      <c r="C8" s="5" t="s">
        <v>57</v>
      </c>
      <c r="D8" s="5">
        <v>6</v>
      </c>
      <c r="E8" s="13">
        <v>270</v>
      </c>
      <c r="F8" s="6" t="s">
        <v>51</v>
      </c>
      <c r="H8" t="s">
        <v>56</v>
      </c>
      <c r="I8" s="13"/>
    </row>
    <row r="9" spans="1:10">
      <c r="A9" s="4" t="s">
        <v>24</v>
      </c>
      <c r="B9" s="5" t="s">
        <v>47</v>
      </c>
      <c r="C9" s="5" t="s">
        <v>58</v>
      </c>
      <c r="D9" s="5">
        <v>1</v>
      </c>
      <c r="E9" s="13">
        <v>3200</v>
      </c>
      <c r="F9" s="6" t="s">
        <v>49</v>
      </c>
    </row>
    <row r="10" spans="1:10">
      <c r="A10" s="4" t="s">
        <v>26</v>
      </c>
      <c r="B10" s="5" t="s">
        <v>52</v>
      </c>
      <c r="C10" s="5" t="s">
        <v>59</v>
      </c>
      <c r="D10" s="5">
        <v>2</v>
      </c>
      <c r="E10" s="13">
        <v>360</v>
      </c>
      <c r="F10" s="6" t="s">
        <v>51</v>
      </c>
    </row>
    <row r="11" spans="1:10">
      <c r="A11" s="4" t="s">
        <v>28</v>
      </c>
      <c r="B11" s="5" t="s">
        <v>47</v>
      </c>
      <c r="C11" s="5" t="s">
        <v>60</v>
      </c>
      <c r="D11" s="5">
        <v>5</v>
      </c>
      <c r="E11" s="13">
        <v>850</v>
      </c>
      <c r="F11" s="6" t="s">
        <v>49</v>
      </c>
    </row>
    <row r="12" spans="1:10">
      <c r="A12" s="4" t="s">
        <v>29</v>
      </c>
      <c r="B12" s="5" t="s">
        <v>52</v>
      </c>
      <c r="C12" s="5" t="s">
        <v>61</v>
      </c>
      <c r="D12" s="5">
        <v>10</v>
      </c>
      <c r="E12" s="13">
        <v>350</v>
      </c>
      <c r="F12" s="6" t="s">
        <v>56</v>
      </c>
    </row>
    <row r="13" spans="1:10">
      <c r="A13" s="4" t="s">
        <v>30</v>
      </c>
      <c r="B13" s="5" t="s">
        <v>47</v>
      </c>
      <c r="C13" s="5" t="s">
        <v>62</v>
      </c>
      <c r="D13" s="5">
        <v>2</v>
      </c>
      <c r="E13" s="13">
        <v>580</v>
      </c>
      <c r="F13" s="6" t="s">
        <v>51</v>
      </c>
    </row>
    <row r="14" spans="1:10">
      <c r="A14" s="4" t="s">
        <v>31</v>
      </c>
      <c r="B14" s="5" t="s">
        <v>52</v>
      </c>
      <c r="C14" s="5" t="s">
        <v>54</v>
      </c>
      <c r="D14" s="5">
        <v>3</v>
      </c>
      <c r="E14" s="13">
        <v>360</v>
      </c>
      <c r="F14" s="6" t="s">
        <v>49</v>
      </c>
    </row>
    <row r="15" spans="1:10">
      <c r="A15" s="7" t="s">
        <v>32</v>
      </c>
      <c r="B15" s="8" t="s">
        <v>47</v>
      </c>
      <c r="C15" s="8" t="s">
        <v>48</v>
      </c>
      <c r="D15" s="8">
        <v>5</v>
      </c>
      <c r="E15" s="14">
        <v>425</v>
      </c>
      <c r="F15" s="9" t="s">
        <v>56</v>
      </c>
    </row>
    <row r="17" spans="1:6" ht="15">
      <c r="A17" s="28" t="s">
        <v>33</v>
      </c>
      <c r="B17" s="28"/>
      <c r="C17" s="28"/>
      <c r="D17" s="28"/>
      <c r="E17" s="28"/>
      <c r="F17" s="28"/>
    </row>
    <row r="18" spans="1:6">
      <c r="A18" s="29" t="s">
        <v>63</v>
      </c>
      <c r="B18" s="30"/>
      <c r="C18" s="30"/>
      <c r="D18" s="30"/>
      <c r="E18" s="30"/>
      <c r="F18" s="31"/>
    </row>
    <row r="19" spans="1:6">
      <c r="A19" s="29" t="s">
        <v>64</v>
      </c>
      <c r="B19" s="30"/>
      <c r="C19" s="30"/>
      <c r="D19" s="30"/>
      <c r="E19" s="30"/>
      <c r="F19" s="31"/>
    </row>
    <row r="20" spans="1:6">
      <c r="A20" s="29" t="s">
        <v>65</v>
      </c>
      <c r="B20" s="30"/>
      <c r="C20" s="30"/>
      <c r="D20" s="30"/>
      <c r="E20" s="30"/>
      <c r="F20" s="31"/>
    </row>
  </sheetData>
  <mergeCells count="6">
    <mergeCell ref="A20:F20"/>
    <mergeCell ref="A1:J1"/>
    <mergeCell ref="A2:J2"/>
    <mergeCell ref="A17:F17"/>
    <mergeCell ref="A18:F18"/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/>
  </sheetViews>
  <sheetFormatPr defaultRowHeight="14.25"/>
  <cols>
    <col min="1" max="1" width="18" customWidth="1"/>
    <col min="2" max="2" width="17" customWidth="1"/>
    <col min="3" max="3" width="12" customWidth="1"/>
    <col min="4" max="5" width="15" customWidth="1"/>
    <col min="6" max="6" width="17" customWidth="1"/>
    <col min="7" max="7" width="15" customWidth="1"/>
    <col min="8" max="8" width="13" customWidth="1"/>
    <col min="10" max="11" width="18" customWidth="1"/>
    <col min="12" max="12" width="17" customWidth="1"/>
  </cols>
  <sheetData>
    <row r="1" spans="1:12" ht="27.95" customHeight="1">
      <c r="A1" s="26" t="s">
        <v>66</v>
      </c>
      <c r="B1" s="26"/>
      <c r="C1" s="26"/>
      <c r="D1" s="26"/>
      <c r="E1" s="26"/>
      <c r="F1" s="26"/>
      <c r="G1" s="26"/>
      <c r="H1" s="26"/>
      <c r="I1" s="26"/>
      <c r="J1" s="26"/>
    </row>
    <row r="2" spans="1:12" ht="33.950000000000003" customHeight="1">
      <c r="A2" s="27" t="s">
        <v>67</v>
      </c>
      <c r="B2" s="27"/>
      <c r="C2" s="27"/>
      <c r="D2" s="27"/>
      <c r="E2" s="27"/>
      <c r="F2" s="27"/>
      <c r="G2" s="27"/>
      <c r="H2" s="27"/>
      <c r="I2" s="27"/>
      <c r="J2" s="27"/>
    </row>
    <row r="3" spans="1:12" ht="27.95" customHeight="1">
      <c r="A3" s="1" t="s">
        <v>41</v>
      </c>
      <c r="B3" s="2" t="s">
        <v>68</v>
      </c>
      <c r="C3" s="2" t="s">
        <v>9</v>
      </c>
      <c r="D3" s="2" t="s">
        <v>69</v>
      </c>
      <c r="E3" s="2" t="s">
        <v>70</v>
      </c>
      <c r="F3" s="2" t="s">
        <v>71</v>
      </c>
      <c r="G3" s="2" t="s">
        <v>4</v>
      </c>
      <c r="H3" s="3" t="s">
        <v>72</v>
      </c>
      <c r="J3" s="12" t="s">
        <v>68</v>
      </c>
      <c r="K3" s="12" t="s">
        <v>73</v>
      </c>
      <c r="L3" s="12" t="s">
        <v>74</v>
      </c>
    </row>
    <row r="4" spans="1:12">
      <c r="A4" s="4" t="s">
        <v>48</v>
      </c>
      <c r="B4" s="5" t="s">
        <v>75</v>
      </c>
      <c r="C4" s="5">
        <v>8</v>
      </c>
      <c r="D4" s="5">
        <v>15</v>
      </c>
      <c r="E4" s="13">
        <v>85</v>
      </c>
      <c r="F4" s="13"/>
      <c r="G4" s="5"/>
      <c r="H4" s="6"/>
      <c r="J4" t="s">
        <v>75</v>
      </c>
      <c r="L4" s="13"/>
    </row>
    <row r="5" spans="1:12">
      <c r="A5" s="4" t="s">
        <v>57</v>
      </c>
      <c r="B5" s="5" t="s">
        <v>75</v>
      </c>
      <c r="C5" s="5">
        <v>25</v>
      </c>
      <c r="D5" s="5">
        <v>20</v>
      </c>
      <c r="E5" s="13">
        <v>45</v>
      </c>
      <c r="F5" s="13"/>
      <c r="G5" s="5"/>
      <c r="H5" s="6"/>
      <c r="J5" t="s">
        <v>76</v>
      </c>
      <c r="L5" s="13"/>
    </row>
    <row r="6" spans="1:12">
      <c r="A6" s="4" t="s">
        <v>50</v>
      </c>
      <c r="B6" s="5" t="s">
        <v>76</v>
      </c>
      <c r="C6" s="5">
        <v>6</v>
      </c>
      <c r="D6" s="5">
        <v>10</v>
      </c>
      <c r="E6" s="13">
        <v>750</v>
      </c>
      <c r="F6" s="13"/>
      <c r="G6" s="5"/>
      <c r="H6" s="6"/>
      <c r="J6" t="s">
        <v>77</v>
      </c>
      <c r="L6" s="13"/>
    </row>
    <row r="7" spans="1:12">
      <c r="A7" s="4" t="s">
        <v>54</v>
      </c>
      <c r="B7" s="5" t="s">
        <v>75</v>
      </c>
      <c r="C7" s="5">
        <v>12</v>
      </c>
      <c r="D7" s="5">
        <v>15</v>
      </c>
      <c r="E7" s="13">
        <v>120</v>
      </c>
      <c r="F7" s="13"/>
      <c r="G7" s="5"/>
      <c r="H7" s="6"/>
    </row>
    <row r="8" spans="1:12">
      <c r="A8" s="4" t="s">
        <v>78</v>
      </c>
      <c r="B8" s="5" t="s">
        <v>77</v>
      </c>
      <c r="C8" s="5">
        <v>18</v>
      </c>
      <c r="D8" s="5">
        <v>12</v>
      </c>
      <c r="E8" s="13">
        <v>260</v>
      </c>
      <c r="F8" s="13"/>
      <c r="G8" s="5"/>
      <c r="H8" s="6"/>
    </row>
    <row r="9" spans="1:12">
      <c r="A9" s="4" t="s">
        <v>79</v>
      </c>
      <c r="B9" s="5" t="s">
        <v>77</v>
      </c>
      <c r="C9" s="5">
        <v>5</v>
      </c>
      <c r="D9" s="5">
        <v>10</v>
      </c>
      <c r="E9" s="13">
        <v>310</v>
      </c>
      <c r="F9" s="13"/>
      <c r="G9" s="5"/>
      <c r="H9" s="6"/>
    </row>
    <row r="10" spans="1:12">
      <c r="A10" s="4" t="s">
        <v>59</v>
      </c>
      <c r="B10" s="5" t="s">
        <v>75</v>
      </c>
      <c r="C10" s="5">
        <v>20</v>
      </c>
      <c r="D10" s="5">
        <v>15</v>
      </c>
      <c r="E10" s="13">
        <v>180</v>
      </c>
      <c r="F10" s="13"/>
      <c r="G10" s="5"/>
      <c r="H10" s="6"/>
    </row>
    <row r="11" spans="1:12">
      <c r="A11" s="4" t="s">
        <v>80</v>
      </c>
      <c r="B11" s="5" t="s">
        <v>76</v>
      </c>
      <c r="C11" s="5">
        <v>14</v>
      </c>
      <c r="D11" s="5">
        <v>10</v>
      </c>
      <c r="E11" s="13">
        <v>900</v>
      </c>
      <c r="F11" s="13"/>
      <c r="G11" s="5"/>
      <c r="H11" s="6"/>
    </row>
    <row r="12" spans="1:12">
      <c r="A12" s="4" t="s">
        <v>81</v>
      </c>
      <c r="B12" s="5" t="s">
        <v>77</v>
      </c>
      <c r="C12" s="5">
        <v>7</v>
      </c>
      <c r="D12" s="5">
        <v>20</v>
      </c>
      <c r="E12" s="13">
        <v>65</v>
      </c>
      <c r="F12" s="13"/>
      <c r="G12" s="5"/>
      <c r="H12" s="6"/>
    </row>
    <row r="13" spans="1:12">
      <c r="A13" s="4" t="s">
        <v>82</v>
      </c>
      <c r="B13" s="5" t="s">
        <v>75</v>
      </c>
      <c r="C13" s="5">
        <v>30</v>
      </c>
      <c r="D13" s="5">
        <v>15</v>
      </c>
      <c r="E13" s="13">
        <v>35</v>
      </c>
      <c r="F13" s="13"/>
      <c r="G13" s="5"/>
      <c r="H13" s="6"/>
    </row>
    <row r="14" spans="1:12">
      <c r="A14" s="4" t="s">
        <v>83</v>
      </c>
      <c r="B14" s="5" t="s">
        <v>77</v>
      </c>
      <c r="C14" s="5">
        <v>4</v>
      </c>
      <c r="D14" s="5">
        <v>8</v>
      </c>
      <c r="E14" s="13">
        <v>480</v>
      </c>
      <c r="F14" s="13"/>
      <c r="G14" s="5"/>
      <c r="H14" s="6"/>
    </row>
    <row r="15" spans="1:12">
      <c r="A15" s="7" t="s">
        <v>84</v>
      </c>
      <c r="B15" s="8" t="s">
        <v>76</v>
      </c>
      <c r="C15" s="8">
        <v>3</v>
      </c>
      <c r="D15" s="8">
        <v>8</v>
      </c>
      <c r="E15" s="14">
        <v>1450</v>
      </c>
      <c r="F15" s="14"/>
      <c r="G15" s="8"/>
      <c r="H15" s="9"/>
    </row>
    <row r="17" spans="1:8" ht="15">
      <c r="A17" s="28" t="s">
        <v>33</v>
      </c>
      <c r="B17" s="28"/>
      <c r="C17" s="28"/>
      <c r="D17" s="28"/>
      <c r="E17" s="28"/>
      <c r="F17" s="28"/>
      <c r="G17" s="28"/>
      <c r="H17" s="28"/>
    </row>
    <row r="18" spans="1:8">
      <c r="A18" s="29" t="s">
        <v>85</v>
      </c>
      <c r="B18" s="30"/>
      <c r="C18" s="30"/>
      <c r="D18" s="30"/>
      <c r="E18" s="30"/>
      <c r="F18" s="30"/>
      <c r="G18" s="30"/>
      <c r="H18" s="31"/>
    </row>
    <row r="19" spans="1:8">
      <c r="A19" s="29" t="s">
        <v>86</v>
      </c>
      <c r="B19" s="30"/>
      <c r="C19" s="30"/>
      <c r="D19" s="30"/>
      <c r="E19" s="30"/>
      <c r="F19" s="30"/>
      <c r="G19" s="30"/>
      <c r="H19" s="31"/>
    </row>
    <row r="20" spans="1:8">
      <c r="A20" s="29" t="s">
        <v>87</v>
      </c>
      <c r="B20" s="30"/>
      <c r="C20" s="30"/>
      <c r="D20" s="30"/>
      <c r="E20" s="30"/>
      <c r="F20" s="30"/>
      <c r="G20" s="30"/>
      <c r="H20" s="31"/>
    </row>
    <row r="21" spans="1:8">
      <c r="A21" s="29" t="s">
        <v>88</v>
      </c>
      <c r="B21" s="30"/>
      <c r="C21" s="30"/>
      <c r="D21" s="30"/>
      <c r="E21" s="30"/>
      <c r="F21" s="30"/>
      <c r="G21" s="30"/>
      <c r="H21" s="31"/>
    </row>
    <row r="22" spans="1:8">
      <c r="A22" s="29" t="s">
        <v>89</v>
      </c>
      <c r="B22" s="30"/>
      <c r="C22" s="30"/>
      <c r="D22" s="30"/>
      <c r="E22" s="30"/>
      <c r="F22" s="30"/>
      <c r="G22" s="30"/>
      <c r="H22" s="31"/>
    </row>
  </sheetData>
  <mergeCells count="8">
    <mergeCell ref="A20:H20"/>
    <mergeCell ref="A21:H21"/>
    <mergeCell ref="A22:H22"/>
    <mergeCell ref="A1:J1"/>
    <mergeCell ref="A2:J2"/>
    <mergeCell ref="A17:H17"/>
    <mergeCell ref="A18:H18"/>
    <mergeCell ref="A19:H19"/>
  </mergeCells>
  <conditionalFormatting sqref="G4:G15">
    <cfRule type="expression" dxfId="3" priority="1">
      <formula>G4="Baixo"</formula>
    </cfRule>
    <cfRule type="expression" dxfId="2" priority="2">
      <formula>G4="Adequado"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/>
  </sheetViews>
  <sheetFormatPr defaultRowHeight="14.25"/>
  <cols>
    <col min="1" max="1" width="14" customWidth="1"/>
    <col min="2" max="2" width="17" customWidth="1"/>
    <col min="3" max="3" width="16" customWidth="1"/>
    <col min="4" max="4" width="14" customWidth="1"/>
    <col min="5" max="5" width="11" customWidth="1"/>
    <col min="6" max="6" width="13" customWidth="1"/>
    <col min="7" max="7" width="17" customWidth="1"/>
    <col min="9" max="9" width="20" customWidth="1"/>
    <col min="10" max="10" width="16" customWidth="1"/>
  </cols>
  <sheetData>
    <row r="1" spans="1:10" ht="27.95" customHeight="1">
      <c r="A1" s="26" t="s">
        <v>90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3.950000000000003" customHeight="1">
      <c r="A2" s="27" t="s">
        <v>91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7.95" customHeight="1">
      <c r="A3" s="1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3" t="s">
        <v>98</v>
      </c>
      <c r="I3" s="12" t="s">
        <v>8</v>
      </c>
      <c r="J3" s="12" t="s">
        <v>7</v>
      </c>
    </row>
    <row r="4" spans="1:10">
      <c r="A4" s="4">
        <v>1001</v>
      </c>
      <c r="B4" s="5" t="s">
        <v>99</v>
      </c>
      <c r="C4" s="5" t="s">
        <v>100</v>
      </c>
      <c r="D4" s="13">
        <v>450</v>
      </c>
      <c r="E4" s="5">
        <v>3</v>
      </c>
      <c r="F4" s="5">
        <v>2</v>
      </c>
      <c r="G4" s="6"/>
      <c r="I4" t="s">
        <v>101</v>
      </c>
    </row>
    <row r="5" spans="1:10">
      <c r="A5" s="4">
        <v>1002</v>
      </c>
      <c r="B5" s="5" t="s">
        <v>102</v>
      </c>
      <c r="C5" s="5" t="s">
        <v>10</v>
      </c>
      <c r="D5" s="13">
        <v>280</v>
      </c>
      <c r="E5" s="5">
        <v>2</v>
      </c>
      <c r="F5" s="5">
        <v>4</v>
      </c>
      <c r="G5" s="6"/>
      <c r="I5" t="s">
        <v>103</v>
      </c>
    </row>
    <row r="6" spans="1:10">
      <c r="A6" s="4">
        <v>1003</v>
      </c>
      <c r="B6" s="5" t="s">
        <v>104</v>
      </c>
      <c r="C6" s="5" t="s">
        <v>14</v>
      </c>
      <c r="D6" s="13">
        <v>180</v>
      </c>
      <c r="E6" s="5">
        <v>1</v>
      </c>
      <c r="F6" s="5">
        <v>1</v>
      </c>
      <c r="G6" s="6"/>
      <c r="I6" t="s">
        <v>105</v>
      </c>
    </row>
    <row r="7" spans="1:10">
      <c r="A7" s="4">
        <v>1004</v>
      </c>
      <c r="B7" s="5" t="s">
        <v>99</v>
      </c>
      <c r="C7" s="5" t="s">
        <v>10</v>
      </c>
      <c r="D7" s="13">
        <v>600</v>
      </c>
      <c r="E7" s="5">
        <v>4</v>
      </c>
      <c r="F7" s="5">
        <v>3</v>
      </c>
      <c r="G7" s="6"/>
      <c r="I7" t="s">
        <v>106</v>
      </c>
    </row>
    <row r="8" spans="1:10">
      <c r="A8" s="4">
        <v>1005</v>
      </c>
      <c r="B8" s="5" t="s">
        <v>102</v>
      </c>
      <c r="C8" s="5" t="s">
        <v>100</v>
      </c>
      <c r="D8" s="13">
        <v>320</v>
      </c>
      <c r="E8" s="5">
        <v>3</v>
      </c>
      <c r="F8" s="5">
        <v>3</v>
      </c>
      <c r="G8" s="6"/>
      <c r="I8" t="s">
        <v>107</v>
      </c>
    </row>
    <row r="9" spans="1:10">
      <c r="A9" s="4">
        <v>1006</v>
      </c>
      <c r="B9" s="5" t="s">
        <v>104</v>
      </c>
      <c r="C9" s="5" t="s">
        <v>10</v>
      </c>
      <c r="D9" s="13">
        <v>200</v>
      </c>
      <c r="E9" s="5">
        <v>2</v>
      </c>
      <c r="F9" s="5">
        <v>1</v>
      </c>
      <c r="G9" s="6"/>
      <c r="I9" t="s">
        <v>108</v>
      </c>
      <c r="J9" s="13"/>
    </row>
    <row r="10" spans="1:10">
      <c r="A10" s="4">
        <v>1007</v>
      </c>
      <c r="B10" s="5" t="s">
        <v>99</v>
      </c>
      <c r="C10" s="5" t="s">
        <v>14</v>
      </c>
      <c r="D10" s="13">
        <v>500</v>
      </c>
      <c r="E10" s="5">
        <v>3</v>
      </c>
      <c r="F10" s="5">
        <v>5</v>
      </c>
      <c r="G10" s="6"/>
      <c r="I10" t="s">
        <v>109</v>
      </c>
      <c r="J10" s="13"/>
    </row>
    <row r="11" spans="1:10">
      <c r="A11" s="4">
        <v>1008</v>
      </c>
      <c r="B11" s="5" t="s">
        <v>102</v>
      </c>
      <c r="C11" s="5" t="s">
        <v>100</v>
      </c>
      <c r="D11" s="13">
        <v>260</v>
      </c>
      <c r="E11" s="5">
        <v>2</v>
      </c>
      <c r="F11" s="5">
        <v>1</v>
      </c>
      <c r="G11" s="6"/>
    </row>
    <row r="12" spans="1:10">
      <c r="A12" s="4">
        <v>1009</v>
      </c>
      <c r="B12" s="5" t="s">
        <v>104</v>
      </c>
      <c r="C12" s="5" t="s">
        <v>14</v>
      </c>
      <c r="D12" s="13">
        <v>150</v>
      </c>
      <c r="E12" s="5">
        <v>1</v>
      </c>
      <c r="F12" s="5">
        <v>2</v>
      </c>
      <c r="G12" s="6"/>
    </row>
    <row r="13" spans="1:10">
      <c r="A13" s="4">
        <v>1010</v>
      </c>
      <c r="B13" s="5" t="s">
        <v>99</v>
      </c>
      <c r="C13" s="5" t="s">
        <v>10</v>
      </c>
      <c r="D13" s="13">
        <v>700</v>
      </c>
      <c r="E13" s="5">
        <v>5</v>
      </c>
      <c r="F13" s="5">
        <v>4</v>
      </c>
      <c r="G13" s="6"/>
    </row>
    <row r="14" spans="1:10">
      <c r="A14" s="4">
        <v>1011</v>
      </c>
      <c r="B14" s="5" t="s">
        <v>102</v>
      </c>
      <c r="C14" s="5" t="s">
        <v>14</v>
      </c>
      <c r="D14" s="13">
        <v>350</v>
      </c>
      <c r="E14" s="5">
        <v>3</v>
      </c>
      <c r="F14" s="5">
        <v>2</v>
      </c>
      <c r="G14" s="6"/>
    </row>
    <row r="15" spans="1:10">
      <c r="A15" s="7">
        <v>1012</v>
      </c>
      <c r="B15" s="8" t="s">
        <v>104</v>
      </c>
      <c r="C15" s="8" t="s">
        <v>100</v>
      </c>
      <c r="D15" s="14">
        <v>220</v>
      </c>
      <c r="E15" s="8">
        <v>2</v>
      </c>
      <c r="F15" s="8">
        <v>2</v>
      </c>
      <c r="G15" s="9"/>
    </row>
    <row r="17" spans="1:7" ht="15">
      <c r="A17" s="28" t="s">
        <v>33</v>
      </c>
      <c r="B17" s="28"/>
      <c r="C17" s="28"/>
      <c r="D17" s="28"/>
      <c r="E17" s="28"/>
      <c r="F17" s="28"/>
      <c r="G17" s="28"/>
    </row>
    <row r="18" spans="1:7">
      <c r="A18" s="29" t="s">
        <v>110</v>
      </c>
      <c r="B18" s="30"/>
      <c r="C18" s="30"/>
      <c r="D18" s="30"/>
      <c r="E18" s="30"/>
      <c r="F18" s="30"/>
      <c r="G18" s="31"/>
    </row>
    <row r="19" spans="1:7">
      <c r="A19" s="29" t="s">
        <v>111</v>
      </c>
      <c r="B19" s="30"/>
      <c r="C19" s="30"/>
      <c r="D19" s="30"/>
      <c r="E19" s="30"/>
      <c r="F19" s="30"/>
      <c r="G19" s="31"/>
    </row>
    <row r="20" spans="1:7">
      <c r="A20" s="29" t="s">
        <v>112</v>
      </c>
      <c r="B20" s="30"/>
      <c r="C20" s="30"/>
      <c r="D20" s="30"/>
      <c r="E20" s="30"/>
      <c r="F20" s="30"/>
      <c r="G20" s="31"/>
    </row>
    <row r="21" spans="1:7">
      <c r="A21" s="29" t="s">
        <v>113</v>
      </c>
      <c r="B21" s="30"/>
      <c r="C21" s="30"/>
      <c r="D21" s="30"/>
      <c r="E21" s="30"/>
      <c r="F21" s="30"/>
      <c r="G21" s="31"/>
    </row>
  </sheetData>
  <mergeCells count="7">
    <mergeCell ref="A20:G20"/>
    <mergeCell ref="A21:G21"/>
    <mergeCell ref="A1:J1"/>
    <mergeCell ref="A2:J2"/>
    <mergeCell ref="A17:G17"/>
    <mergeCell ref="A18:G18"/>
    <mergeCell ref="A19:G19"/>
  </mergeCells>
  <conditionalFormatting sqref="G4:G15">
    <cfRule type="expression" dxfId="1" priority="1">
      <formula>G4="No prazo"</formula>
    </cfRule>
    <cfRule type="expression" dxfId="0" priority="2">
      <formula>G4="Atrasado"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1 - CONT.SE</vt:lpstr>
      <vt:lpstr>2 - SOMA.SE</vt:lpstr>
      <vt:lpstr>3 - Estoque</vt:lpstr>
      <vt:lpstr>4 - Desafio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Samuel Sobral De Freitas</cp:lastModifiedBy>
  <dcterms:modified xsi:type="dcterms:W3CDTF">2026-09-16T16:23:40Z</dcterms:modified>
</cp:coreProperties>
</file>