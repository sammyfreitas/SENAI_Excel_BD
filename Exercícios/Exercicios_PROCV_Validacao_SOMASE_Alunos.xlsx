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SFREITAS\Downloads\"/>
    </mc:Choice>
  </mc:AlternateContent>
  <xr:revisionPtr revIDLastSave="0" documentId="13_ncr:1_{458A3E5E-9276-4CA3-99B2-D5E6F8AC62C4}" xr6:coauthVersionLast="47" xr6:coauthVersionMax="47" xr10:uidLastSave="{00000000-0000-0000-0000-000000000000}"/>
  <bookViews>
    <workbookView xWindow="3555" yWindow="2175" windowWidth="21600" windowHeight="11295" firstSheet="1" activeTab="4" xr2:uid="{00000000-000D-0000-FFFF-FFFF00000000}"/>
  </bookViews>
  <sheets>
    <sheet name="Base Funcionarios" sheetId="1" r:id="rId1"/>
    <sheet name="1 - PROCV Matricula" sheetId="2" r:id="rId2"/>
    <sheet name="2 - PROCV Nome" sheetId="3" r:id="rId3"/>
    <sheet name="3 - SOMASE Setor" sheetId="4" r:id="rId4"/>
    <sheet name="4 - Tempo e Reajuste" sheetId="5" r:id="rId5"/>
    <sheet name="5 - Calculo Idade" sheetId="6" r:id="rId6"/>
    <sheet name="6 - Desafio Integrad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5" l="1"/>
  <c r="D5" i="5"/>
  <c r="E5" i="5" s="1"/>
  <c r="D6" i="2"/>
  <c r="C6" i="2"/>
  <c r="B6" i="2"/>
</calcChain>
</file>

<file path=xl/sharedStrings.xml><?xml version="1.0" encoding="utf-8"?>
<sst xmlns="http://schemas.openxmlformats.org/spreadsheetml/2006/main" count="198" uniqueCount="116">
  <si>
    <t>BASE DE FUNCIONÁRIOS</t>
  </si>
  <si>
    <t>Use esta tabela como base dos exercícios. Não altere a ordem das colunas durante os exercícios de PROC.V.</t>
  </si>
  <si>
    <t>Matrícula</t>
  </si>
  <si>
    <t>Nome</t>
  </si>
  <si>
    <t>Data de Nascimento</t>
  </si>
  <si>
    <t>Setor</t>
  </si>
  <si>
    <t>Salário</t>
  </si>
  <si>
    <t>Data de Admissão</t>
  </si>
  <si>
    <t>Anthony Freitas</t>
  </si>
  <si>
    <t>Tecnologia</t>
  </si>
  <si>
    <t>Eduardo Garcia</t>
  </si>
  <si>
    <t>Gráfica</t>
  </si>
  <si>
    <t>Jorge Ramos</t>
  </si>
  <si>
    <t>Gestão</t>
  </si>
  <si>
    <t>Denise Morestrello</t>
  </si>
  <si>
    <t>Joalheria</t>
  </si>
  <si>
    <t>Celson Ricardo</t>
  </si>
  <si>
    <t>Ana Paula Mendes</t>
  </si>
  <si>
    <t>Administrativo</t>
  </si>
  <si>
    <t>Bruno Almeida</t>
  </si>
  <si>
    <t>Financeiro</t>
  </si>
  <si>
    <t>Carla Souza</t>
  </si>
  <si>
    <t>RH</t>
  </si>
  <si>
    <t>Daniel Ferreira</t>
  </si>
  <si>
    <t>Comercial</t>
  </si>
  <si>
    <t>Eliane Martins</t>
  </si>
  <si>
    <t>Logística</t>
  </si>
  <si>
    <t>Felipe Rocha</t>
  </si>
  <si>
    <t>Ensino</t>
  </si>
  <si>
    <t>Gabriela Nunes</t>
  </si>
  <si>
    <t>Atendimento</t>
  </si>
  <si>
    <t>Henrique Costa</t>
  </si>
  <si>
    <t>Marketing</t>
  </si>
  <si>
    <t>Isabela Moraes</t>
  </si>
  <si>
    <t>Projetos</t>
  </si>
  <si>
    <t>João Pedro Alves</t>
  </si>
  <si>
    <t>Compras</t>
  </si>
  <si>
    <t>Karen Ribeiro</t>
  </si>
  <si>
    <t>Qualidade</t>
  </si>
  <si>
    <t>Lucas Barros</t>
  </si>
  <si>
    <t>Manutenção</t>
  </si>
  <si>
    <t>Marina Lopes</t>
  </si>
  <si>
    <t>Nicolas Gomes</t>
  </si>
  <si>
    <t>Olívia Castro</t>
  </si>
  <si>
    <t>Patrícia Melo</t>
  </si>
  <si>
    <t>Rafael Dias</t>
  </si>
  <si>
    <t>Sofia Carvalho</t>
  </si>
  <si>
    <t>Thiago Vieira</t>
  </si>
  <si>
    <t>Yasmin Teixeira</t>
  </si>
  <si>
    <t>COMO FUNCIONA</t>
  </si>
  <si>
    <t>Sintaxe do PROC.V: =PROCV(valor_procurado;matriz_tabela;núm_índice_coluna;FALSO)</t>
  </si>
  <si>
    <t>Exemplo: =PROCV(A5;'Base Funcionarios'!$A$5:$F$29;2;FALSO) → procura a matrícula e retorna o Nome.</t>
  </si>
  <si>
    <t>O número da coluna é contado dentro da matriz: Matrícula=1, Nome=2, Data Nasc.=3, Setor=4, Salário=5, Data Adm.=6.</t>
  </si>
  <si>
    <t>Use FALSO quando quiser uma correspondência exata.</t>
  </si>
  <si>
    <t>EXERCÍCIOS — PROC.V POR MATRÍCULA</t>
  </si>
  <si>
    <t>Digite/observe a matrícula e use PROC.V para retornar Nome, Setor e Salário. Há 15 exercícios.</t>
  </si>
  <si>
    <t>Sintaxe: =PROCV(valor_procurado;matriz_tabela;núm_índice_coluna;FALSO)</t>
  </si>
  <si>
    <t>Exemplo para Nome: =PROCV(A5;'Base Funcionarios'!$A$5:$F$29;2;FALSO)</t>
  </si>
  <si>
    <t>Para Setor, altere o índice da coluna para 4. Para Salário, use 5.</t>
  </si>
  <si>
    <t>A matriz deve permanecer fixa ao copiar a fórmula: use $A$5:$F$29.</t>
  </si>
  <si>
    <t>EXERCÍCIOS — PROC.V COM LISTA DE VALIDAÇÃO</t>
  </si>
  <si>
    <t>Escolha um nome na lista suspensa e use PROC.V para retornar Setor e Salário. Há 15 exercícios.</t>
  </si>
  <si>
    <t>Nome do funcionário/professor</t>
  </si>
  <si>
    <t>Lista de validação: clique na célula da coluna Nome e escolha uma pessoa na seta da lista.</t>
  </si>
  <si>
    <t>Como o Nome é a primeira coluna desta busca, a matriz do PROC.V começa em B e vai até F.</t>
  </si>
  <si>
    <t>Exemplo Setor: =PROCV(A5;'Base Funcionarios'!$B$5:$F$29;3;FALSO)</t>
  </si>
  <si>
    <t>Exemplo Salário: =PROCV(A5;'Base Funcionarios'!$B$5:$F$29;4;FALSO)</t>
  </si>
  <si>
    <t>O PROC.V sempre procura o valor na PRIMEIRA coluna da matriz selecionada.</t>
  </si>
  <si>
    <t>EXERCÍCIOS — SOMA.SE POR SETOR</t>
  </si>
  <si>
    <t>Calcule a soma dos salários para cada setor da empresa. Há 15 exercícios.</t>
  </si>
  <si>
    <t>Total de Salários</t>
  </si>
  <si>
    <t>Sintaxe do SOMA.SE: =SOMA.SE(intervalo_do_critério;critério;intervalo_da_soma)</t>
  </si>
  <si>
    <t>Exemplo: =SOMA.SE('Base Funcionarios'!$D$5:$D$29;A5;'Base Funcionarios'!$E$5:$E$29)</t>
  </si>
  <si>
    <t>A coluna D da base contém o Setor e a coluna E contém o Salário.</t>
  </si>
  <si>
    <t>Fixe os intervalos com $ para copiar a fórmula para os demais setores.</t>
  </si>
  <si>
    <t>EXERCÍCIOS — TEMPO DE SERVIÇO, FAIXAS E AUMENTO</t>
  </si>
  <si>
    <t>Calcule o tempo de serviço, classifique a faixa e aplique o percentual de aumento. Use 15 funcionários.</t>
  </si>
  <si>
    <t>Salário Atual</t>
  </si>
  <si>
    <t>Data Admissão</t>
  </si>
  <si>
    <t>Anos de Serviço</t>
  </si>
  <si>
    <t>Faixa</t>
  </si>
  <si>
    <t>Aumento</t>
  </si>
  <si>
    <t>Novo Salário</t>
  </si>
  <si>
    <t>Faixa de Serviço</t>
  </si>
  <si>
    <t>Até 2 anos</t>
  </si>
  <si>
    <t>De 2 a 5 anos</t>
  </si>
  <si>
    <t>De 5 a 10 anos</t>
  </si>
  <si>
    <t>De 10 a 15 anos</t>
  </si>
  <si>
    <t>Mais de 15 anos</t>
  </si>
  <si>
    <t>Anos de serviço (simples): =ANO(HOJE())-ANO(C5)</t>
  </si>
  <si>
    <t>Faixa com SE encadeado: Até 2; De 2 a 5; De 5 a 10; De 10 a 15; Mais de 15.</t>
  </si>
  <si>
    <t>Percentuais: +1%, +2%, +5%, +7% e +10%, respectivamente.</t>
  </si>
  <si>
    <t>Novo salário = Salário Atual × (1 + Aumento).</t>
  </si>
  <si>
    <t>Depois, no quadro de resumo abaixo, use SOMA.SE para somar os salários por Faixa de Serviço.</t>
  </si>
  <si>
    <t>Soma dos Salários Atuais</t>
  </si>
  <si>
    <t>EXERCÍCIOS — CÁLCULO SIMPLES DE IDADE</t>
  </si>
  <si>
    <t>Calcule a idade usando apenas o ano atual menos o ano de nascimento. Há 15 exercícios.</t>
  </si>
  <si>
    <t>Idade</t>
  </si>
  <si>
    <t>Cálculo solicitado: ano atual - ano de nascimento.</t>
  </si>
  <si>
    <t>Exemplo: =ANO(HOJE())-ANO(B5)</t>
  </si>
  <si>
    <t>Este é um cálculo simples e pode ficar 1 ano acima da idade real se a pessoa ainda não fez aniversário no ano atual.</t>
  </si>
  <si>
    <t>O objetivo aqui é praticar funções de data de forma básica.</t>
  </si>
  <si>
    <t>DESAFIO — PROC.V + IDADE + TEMPO + REAJUSTE</t>
  </si>
  <si>
    <t>Escolha 15 nomes na lista e monte uma ficha completa usando PROC.V e os cálculos aprendidos.</t>
  </si>
  <si>
    <t>Data Nasc.</t>
  </si>
  <si>
    <t>Data Adm.</t>
  </si>
  <si>
    <t>Anos Serviço</t>
  </si>
  <si>
    <t>Salário Reajustado</t>
  </si>
  <si>
    <t>Use a lista suspensa para selecionar um nome.</t>
  </si>
  <si>
    <t>Com PROC.V, traga Data de Nascimento, Setor, Salário e Data de Admissão da Base Funcionários.</t>
  </si>
  <si>
    <t>Depois calcule Idade e Anos de Serviço.</t>
  </si>
  <si>
    <t>No Salário Reajustado, aplique as mesmas faixas: 1%, 2%, 5%, 7% ou 10%.</t>
  </si>
  <si>
    <t>Esta aba reúne os conteúdos das atividades anteriores.</t>
  </si>
  <si>
    <t>=PROCV(A6;TabelaFuncionarios;2;FALSO)</t>
  </si>
  <si>
    <t>=PROCV(A6;TabelaFuncionarios;4;FALSO)</t>
  </si>
  <si>
    <t>=PROCV(A6;TabelaFuncionarios;5;FALSO)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</si>
</sst>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>
    <font>
      <sz val="11"/>
      <name val="Carlito"/>
    </font>
    <font>
      <b/>
      <sz val="16"/>
      <color rgb="FFFFFFFF"/>
      <name val="Carlito"/>
    </font>
    <font>
      <i/>
      <sz val="10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sz val="9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3F6FA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14" fontId="0" fillId="0" borderId="0" xfId="0" applyNumberFormat="1" applyFont="1" applyFill="1" applyBorder="1"/>
    <xf numFmtId="14" fontId="0" fillId="0" borderId="7" xfId="0" applyNumberFormat="1" applyFont="1" applyFill="1" applyBorder="1"/>
    <xf numFmtId="164" fontId="0" fillId="0" borderId="0" xfId="0" applyNumberFormat="1" applyFont="1" applyFill="1" applyBorder="1"/>
    <xf numFmtId="164" fontId="0" fillId="0" borderId="7" xfId="0" applyNumberFormat="1" applyFont="1" applyFill="1" applyBorder="1"/>
    <xf numFmtId="14" fontId="0" fillId="0" borderId="5" xfId="0" applyNumberFormat="1" applyFont="1" applyFill="1" applyBorder="1"/>
    <xf numFmtId="14" fontId="0" fillId="0" borderId="8" xfId="0" applyNumberFormat="1" applyFont="1" applyFill="1" applyBorder="1"/>
    <xf numFmtId="164" fontId="0" fillId="0" borderId="5" xfId="0" applyNumberFormat="1" applyFont="1" applyFill="1" applyBorder="1"/>
    <xf numFmtId="164" fontId="0" fillId="0" borderId="8" xfId="0" applyNumberFormat="1" applyFont="1" applyFill="1" applyBorder="1"/>
    <xf numFmtId="9" fontId="0" fillId="0" borderId="0" xfId="0" applyNumberFormat="1" applyFont="1" applyFill="1" applyBorder="1"/>
    <xf numFmtId="9" fontId="0" fillId="0" borderId="7" xfId="0" applyNumberFormat="1" applyFont="1" applyFill="1" applyBorder="1"/>
    <xf numFmtId="9" fontId="0" fillId="0" borderId="5" xfId="0" applyNumberFormat="1" applyFont="1" applyFill="1" applyBorder="1"/>
    <xf numFmtId="9" fontId="0" fillId="0" borderId="8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/>
    </xf>
    <xf numFmtId="0" fontId="0" fillId="5" borderId="1" xfId="0" applyNumberFormat="1" applyFont="1" applyFill="1" applyBorder="1" applyAlignment="1">
      <alignment wrapText="1"/>
    </xf>
    <xf numFmtId="0" fontId="0" fillId="5" borderId="2" xfId="0" applyNumberFormat="1" applyFont="1" applyFill="1" applyBorder="1" applyAlignment="1">
      <alignment wrapText="1"/>
    </xf>
    <xf numFmtId="0" fontId="0" fillId="5" borderId="3" xfId="0" applyNumberFormat="1" applyFont="1" applyFill="1" applyBorder="1" applyAlignment="1">
      <alignment wrapText="1"/>
    </xf>
    <xf numFmtId="0" fontId="4" fillId="4" borderId="9" xfId="0" applyNumberFormat="1" applyFont="1" applyFill="1" applyBorder="1" applyAlignment="1">
      <alignment horizontal="center" vertical="center" wrapText="1"/>
    </xf>
    <xf numFmtId="0" fontId="4" fillId="4" borderId="9" xfId="0" quotePrefix="1" applyNumberFormat="1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Funcionarios" displayName="TabelaFuncionarios" ref="A4:F29" totalsRowShown="0">
  <tableColumns count="6">
    <tableColumn id="1" xr3:uid="{00000000-0010-0000-0000-000001000000}" name="Matrícula"/>
    <tableColumn id="2" xr3:uid="{00000000-0010-0000-0000-000002000000}" name="Nome"/>
    <tableColumn id="3" xr3:uid="{00000000-0010-0000-0000-000003000000}" name="Data de Nascimento"/>
    <tableColumn id="4" xr3:uid="{00000000-0010-0000-0000-000004000000}" name="Setor"/>
    <tableColumn id="5" xr3:uid="{00000000-0010-0000-0000-000005000000}" name="Salário"/>
    <tableColumn id="6" xr3:uid="{00000000-0010-0000-0000-000006000000}" name="Data de Admiss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workbookViewId="0">
      <selection activeCell="G5" sqref="G5"/>
    </sheetView>
  </sheetViews>
  <sheetFormatPr defaultRowHeight="14.25"/>
  <cols>
    <col min="1" max="1" width="12" customWidth="1"/>
    <col min="2" max="2" width="24" customWidth="1"/>
    <col min="3" max="4" width="18" customWidth="1"/>
    <col min="5" max="5" width="15" customWidth="1"/>
    <col min="6" max="6" width="18" customWidth="1"/>
    <col min="8" max="8" width="20" customWidth="1"/>
  </cols>
  <sheetData>
    <row r="1" spans="1:8" ht="27.95" customHeight="1">
      <c r="A1" s="22" t="s">
        <v>0</v>
      </c>
      <c r="B1" s="22"/>
      <c r="C1" s="22"/>
      <c r="D1" s="22"/>
      <c r="E1" s="22"/>
      <c r="F1" s="22"/>
      <c r="G1" s="22"/>
      <c r="H1" s="22"/>
    </row>
    <row r="2" spans="1:8" ht="36" customHeight="1">
      <c r="A2" s="23" t="s">
        <v>1</v>
      </c>
      <c r="B2" s="23"/>
      <c r="C2" s="23"/>
      <c r="D2" s="23"/>
      <c r="E2" s="23"/>
      <c r="F2" s="23"/>
      <c r="G2" s="23"/>
      <c r="H2" s="23"/>
    </row>
    <row r="4" spans="1:8" ht="27.95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 t="s">
        <v>7</v>
      </c>
    </row>
    <row r="5" spans="1:8">
      <c r="A5" s="4">
        <v>12001</v>
      </c>
      <c r="B5" s="5" t="s">
        <v>8</v>
      </c>
      <c r="C5" s="10">
        <v>28654</v>
      </c>
      <c r="D5" s="5" t="s">
        <v>9</v>
      </c>
      <c r="E5" s="12">
        <v>5000</v>
      </c>
      <c r="F5" s="14">
        <v>45184</v>
      </c>
    </row>
    <row r="6" spans="1:8">
      <c r="A6" s="4">
        <v>12202</v>
      </c>
      <c r="B6" s="5" t="s">
        <v>10</v>
      </c>
      <c r="C6" s="10">
        <v>32338</v>
      </c>
      <c r="D6" s="5" t="s">
        <v>11</v>
      </c>
      <c r="E6" s="12">
        <v>6000</v>
      </c>
      <c r="F6" s="14">
        <v>42628</v>
      </c>
    </row>
    <row r="7" spans="1:8">
      <c r="A7" s="4">
        <v>12303</v>
      </c>
      <c r="B7" s="5" t="s">
        <v>12</v>
      </c>
      <c r="C7" s="10">
        <v>24970</v>
      </c>
      <c r="D7" s="5" t="s">
        <v>13</v>
      </c>
      <c r="E7" s="12">
        <v>7000</v>
      </c>
      <c r="F7" s="14">
        <v>38975</v>
      </c>
    </row>
    <row r="8" spans="1:8">
      <c r="A8" s="4">
        <v>12404</v>
      </c>
      <c r="B8" s="5" t="s">
        <v>14</v>
      </c>
      <c r="C8" s="10">
        <v>36022</v>
      </c>
      <c r="D8" s="5" t="s">
        <v>15</v>
      </c>
      <c r="E8" s="12">
        <v>5500</v>
      </c>
      <c r="F8" s="14">
        <v>45915</v>
      </c>
    </row>
    <row r="9" spans="1:8">
      <c r="A9" s="4">
        <v>12505</v>
      </c>
      <c r="B9" s="5" t="s">
        <v>16</v>
      </c>
      <c r="C9" s="10">
        <v>36054</v>
      </c>
      <c r="D9" s="5" t="s">
        <v>15</v>
      </c>
      <c r="E9" s="12">
        <v>4800</v>
      </c>
      <c r="F9" s="14">
        <v>45550</v>
      </c>
    </row>
    <row r="10" spans="1:8">
      <c r="A10" s="4">
        <v>12606</v>
      </c>
      <c r="B10" s="5" t="s">
        <v>17</v>
      </c>
      <c r="C10" s="10">
        <v>33656</v>
      </c>
      <c r="D10" s="5" t="s">
        <v>18</v>
      </c>
      <c r="E10" s="12">
        <v>4200</v>
      </c>
      <c r="F10" s="14">
        <v>43535</v>
      </c>
    </row>
    <row r="11" spans="1:8">
      <c r="A11" s="4">
        <v>12707</v>
      </c>
      <c r="B11" s="5" t="s">
        <v>19</v>
      </c>
      <c r="C11" s="10">
        <v>31323</v>
      </c>
      <c r="D11" s="5" t="s">
        <v>20</v>
      </c>
      <c r="E11" s="12">
        <v>6500</v>
      </c>
      <c r="F11" s="14">
        <v>40917</v>
      </c>
    </row>
    <row r="12" spans="1:8">
      <c r="A12" s="4">
        <v>12808</v>
      </c>
      <c r="B12" s="5" t="s">
        <v>21</v>
      </c>
      <c r="C12" s="10">
        <v>35051</v>
      </c>
      <c r="D12" s="5" t="s">
        <v>22</v>
      </c>
      <c r="E12" s="12">
        <v>4600</v>
      </c>
      <c r="F12" s="14">
        <v>44333</v>
      </c>
    </row>
    <row r="13" spans="1:8">
      <c r="A13" s="4">
        <v>12909</v>
      </c>
      <c r="B13" s="5" t="s">
        <v>23</v>
      </c>
      <c r="C13" s="10">
        <v>32990</v>
      </c>
      <c r="D13" s="5" t="s">
        <v>24</v>
      </c>
      <c r="E13" s="12">
        <v>5100</v>
      </c>
      <c r="F13" s="14">
        <v>42968</v>
      </c>
    </row>
    <row r="14" spans="1:8">
      <c r="A14" s="4">
        <v>13010</v>
      </c>
      <c r="B14" s="5" t="s">
        <v>25</v>
      </c>
      <c r="C14" s="10">
        <v>30325</v>
      </c>
      <c r="D14" s="5" t="s">
        <v>26</v>
      </c>
      <c r="E14" s="12">
        <v>5700</v>
      </c>
      <c r="F14" s="14">
        <v>40343</v>
      </c>
    </row>
    <row r="15" spans="1:8">
      <c r="A15" s="4">
        <v>13111</v>
      </c>
      <c r="B15" s="5" t="s">
        <v>27</v>
      </c>
      <c r="C15" s="10">
        <v>36469</v>
      </c>
      <c r="D15" s="5" t="s">
        <v>28</v>
      </c>
      <c r="E15" s="12">
        <v>3900</v>
      </c>
      <c r="F15" s="14">
        <v>45323</v>
      </c>
    </row>
    <row r="16" spans="1:8">
      <c r="A16" s="4">
        <v>13212</v>
      </c>
      <c r="B16" s="5" t="s">
        <v>29</v>
      </c>
      <c r="C16" s="10">
        <v>34423</v>
      </c>
      <c r="D16" s="5" t="s">
        <v>30</v>
      </c>
      <c r="E16" s="12">
        <v>4100</v>
      </c>
      <c r="F16" s="14">
        <v>44109</v>
      </c>
    </row>
    <row r="17" spans="1:8">
      <c r="A17" s="4">
        <v>13313</v>
      </c>
      <c r="B17" s="5" t="s">
        <v>31</v>
      </c>
      <c r="C17" s="10">
        <v>31947</v>
      </c>
      <c r="D17" s="5" t="s">
        <v>32</v>
      </c>
      <c r="E17" s="12">
        <v>6200</v>
      </c>
      <c r="F17" s="14">
        <v>41736</v>
      </c>
    </row>
    <row r="18" spans="1:8">
      <c r="A18" s="4">
        <v>13414</v>
      </c>
      <c r="B18" s="5" t="s">
        <v>33</v>
      </c>
      <c r="C18" s="10">
        <v>36777</v>
      </c>
      <c r="D18" s="5" t="s">
        <v>34</v>
      </c>
      <c r="E18" s="12">
        <v>5300</v>
      </c>
      <c r="F18" s="14">
        <v>44760</v>
      </c>
    </row>
    <row r="19" spans="1:8">
      <c r="A19" s="4">
        <v>13515</v>
      </c>
      <c r="B19" s="5" t="s">
        <v>35</v>
      </c>
      <c r="C19" s="10">
        <v>33384</v>
      </c>
      <c r="D19" s="5" t="s">
        <v>36</v>
      </c>
      <c r="E19" s="12">
        <v>4900</v>
      </c>
      <c r="F19" s="14">
        <v>43416</v>
      </c>
    </row>
    <row r="20" spans="1:8">
      <c r="A20" s="4">
        <v>13616</v>
      </c>
      <c r="B20" s="5" t="s">
        <v>37</v>
      </c>
      <c r="C20" s="10">
        <v>35253</v>
      </c>
      <c r="D20" s="5" t="s">
        <v>38</v>
      </c>
      <c r="E20" s="12">
        <v>4500</v>
      </c>
      <c r="F20" s="14">
        <v>44942</v>
      </c>
    </row>
    <row r="21" spans="1:8">
      <c r="A21" s="4">
        <v>13717</v>
      </c>
      <c r="B21" s="5" t="s">
        <v>39</v>
      </c>
      <c r="C21" s="10">
        <v>32751</v>
      </c>
      <c r="D21" s="5" t="s">
        <v>40</v>
      </c>
      <c r="E21" s="12">
        <v>5800</v>
      </c>
      <c r="F21" s="14">
        <v>41519</v>
      </c>
    </row>
    <row r="22" spans="1:8">
      <c r="A22" s="4">
        <v>13818</v>
      </c>
      <c r="B22" s="5" t="s">
        <v>41</v>
      </c>
      <c r="C22" s="10">
        <v>35717</v>
      </c>
      <c r="D22" s="5" t="s">
        <v>9</v>
      </c>
      <c r="E22" s="12">
        <v>5400</v>
      </c>
      <c r="F22" s="14">
        <v>44676</v>
      </c>
    </row>
    <row r="23" spans="1:8">
      <c r="A23" s="4">
        <v>13919</v>
      </c>
      <c r="B23" s="5" t="s">
        <v>42</v>
      </c>
      <c r="C23" s="10">
        <v>31018</v>
      </c>
      <c r="D23" s="5" t="s">
        <v>11</v>
      </c>
      <c r="E23" s="12">
        <v>6100</v>
      </c>
      <c r="F23" s="14">
        <v>40148</v>
      </c>
    </row>
    <row r="24" spans="1:8">
      <c r="A24" s="4">
        <v>14020</v>
      </c>
      <c r="B24" s="5" t="s">
        <v>43</v>
      </c>
      <c r="C24" s="10">
        <v>36916</v>
      </c>
      <c r="D24" s="5" t="s">
        <v>13</v>
      </c>
      <c r="E24" s="12">
        <v>4400</v>
      </c>
      <c r="F24" s="14">
        <v>45698</v>
      </c>
    </row>
    <row r="25" spans="1:8">
      <c r="A25" s="4">
        <v>14121</v>
      </c>
      <c r="B25" s="5" t="s">
        <v>44</v>
      </c>
      <c r="C25" s="10">
        <v>31569</v>
      </c>
      <c r="D25" s="5" t="s">
        <v>18</v>
      </c>
      <c r="E25" s="12">
        <v>5900</v>
      </c>
      <c r="F25" s="14">
        <v>40728</v>
      </c>
    </row>
    <row r="26" spans="1:8">
      <c r="A26" s="4">
        <v>14222</v>
      </c>
      <c r="B26" s="5" t="s">
        <v>45</v>
      </c>
      <c r="C26" s="10">
        <v>34017</v>
      </c>
      <c r="D26" s="5" t="s">
        <v>20</v>
      </c>
      <c r="E26" s="12">
        <v>5200</v>
      </c>
      <c r="F26" s="14">
        <v>43178</v>
      </c>
    </row>
    <row r="27" spans="1:8">
      <c r="A27" s="4">
        <v>14323</v>
      </c>
      <c r="B27" s="5" t="s">
        <v>46</v>
      </c>
      <c r="C27" s="10">
        <v>35897</v>
      </c>
      <c r="D27" s="5" t="s">
        <v>22</v>
      </c>
      <c r="E27" s="12">
        <v>4300</v>
      </c>
      <c r="F27" s="14">
        <v>45446</v>
      </c>
    </row>
    <row r="28" spans="1:8">
      <c r="A28" s="4">
        <v>14424</v>
      </c>
      <c r="B28" s="5" t="s">
        <v>47</v>
      </c>
      <c r="C28" s="10">
        <v>30283</v>
      </c>
      <c r="D28" s="5" t="s">
        <v>24</v>
      </c>
      <c r="E28" s="12">
        <v>6800</v>
      </c>
      <c r="F28" s="14">
        <v>39224</v>
      </c>
    </row>
    <row r="29" spans="1:8">
      <c r="A29" s="7">
        <v>14525</v>
      </c>
      <c r="B29" s="8" t="s">
        <v>48</v>
      </c>
      <c r="C29" s="11">
        <v>37324</v>
      </c>
      <c r="D29" s="8" t="s">
        <v>28</v>
      </c>
      <c r="E29" s="13">
        <v>3700</v>
      </c>
      <c r="F29" s="15">
        <v>46034</v>
      </c>
    </row>
    <row r="31" spans="1:8" ht="15">
      <c r="A31" s="24" t="s">
        <v>49</v>
      </c>
      <c r="B31" s="24"/>
      <c r="C31" s="24"/>
      <c r="D31" s="24"/>
      <c r="E31" s="24"/>
      <c r="F31" s="24"/>
      <c r="G31" s="24"/>
      <c r="H31" s="24"/>
    </row>
    <row r="32" spans="1:8">
      <c r="A32" s="25" t="s">
        <v>50</v>
      </c>
      <c r="B32" s="26"/>
      <c r="C32" s="26"/>
      <c r="D32" s="26"/>
      <c r="E32" s="26"/>
      <c r="F32" s="26"/>
      <c r="G32" s="26"/>
      <c r="H32" s="27"/>
    </row>
    <row r="33" spans="1:8">
      <c r="A33" s="25" t="s">
        <v>51</v>
      </c>
      <c r="B33" s="26"/>
      <c r="C33" s="26"/>
      <c r="D33" s="26"/>
      <c r="E33" s="26"/>
      <c r="F33" s="26"/>
      <c r="G33" s="26"/>
      <c r="H33" s="27"/>
    </row>
    <row r="34" spans="1:8">
      <c r="A34" s="25" t="s">
        <v>52</v>
      </c>
      <c r="B34" s="26"/>
      <c r="C34" s="26"/>
      <c r="D34" s="26"/>
      <c r="E34" s="26"/>
      <c r="F34" s="26"/>
      <c r="G34" s="26"/>
      <c r="H34" s="27"/>
    </row>
    <row r="35" spans="1:8">
      <c r="A35" s="25" t="s">
        <v>53</v>
      </c>
      <c r="B35" s="26"/>
      <c r="C35" s="26"/>
      <c r="D35" s="26"/>
      <c r="E35" s="26"/>
      <c r="F35" s="26"/>
      <c r="G35" s="26"/>
      <c r="H35" s="27"/>
    </row>
  </sheetData>
  <mergeCells count="7">
    <mergeCell ref="A34:H34"/>
    <mergeCell ref="A35:H35"/>
    <mergeCell ref="A1:H1"/>
    <mergeCell ref="A2:H2"/>
    <mergeCell ref="A31:H31"/>
    <mergeCell ref="A32:H32"/>
    <mergeCell ref="A33:H3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opLeftCell="A3" zoomScale="130" zoomScaleNormal="130" workbookViewId="0">
      <selection activeCell="B8" sqref="B8"/>
    </sheetView>
  </sheetViews>
  <sheetFormatPr defaultRowHeight="14.25"/>
  <cols>
    <col min="1" max="1" width="14" customWidth="1"/>
    <col min="2" max="2" width="32" customWidth="1"/>
    <col min="3" max="3" width="34.25" customWidth="1"/>
    <col min="4" max="4" width="32.75" customWidth="1"/>
    <col min="6" max="6" width="34" customWidth="1"/>
  </cols>
  <sheetData>
    <row r="1" spans="1:6" ht="27.95" customHeight="1">
      <c r="A1" s="22" t="s">
        <v>54</v>
      </c>
      <c r="B1" s="22"/>
      <c r="C1" s="22"/>
      <c r="D1" s="22"/>
      <c r="E1" s="22"/>
      <c r="F1" s="22"/>
    </row>
    <row r="2" spans="1:6" ht="36" customHeight="1">
      <c r="A2" s="23" t="s">
        <v>55</v>
      </c>
      <c r="B2" s="23"/>
      <c r="C2" s="23"/>
      <c r="D2" s="23"/>
      <c r="E2" s="23"/>
      <c r="F2" s="23"/>
    </row>
    <row r="4" spans="1:6" ht="28.5" customHeight="1">
      <c r="A4" s="1" t="s">
        <v>2</v>
      </c>
      <c r="B4" s="2" t="s">
        <v>3</v>
      </c>
      <c r="C4" s="2" t="s">
        <v>5</v>
      </c>
      <c r="D4" s="3" t="s">
        <v>6</v>
      </c>
    </row>
    <row r="5" spans="1:6" s="30" customFormat="1" ht="28.5" customHeight="1">
      <c r="A5" s="28"/>
      <c r="B5" s="29" t="s">
        <v>113</v>
      </c>
      <c r="C5" s="29" t="s">
        <v>114</v>
      </c>
      <c r="D5" s="29" t="s">
        <v>115</v>
      </c>
    </row>
    <row r="6" spans="1:6">
      <c r="A6" s="4">
        <v>12001</v>
      </c>
      <c r="B6" s="5" t="str">
        <f>VLOOKUP(A6,TabelaFuncionarios[],2,FALSE)</f>
        <v>Anthony Freitas</v>
      </c>
      <c r="C6" s="5" t="str">
        <f>VLOOKUP(A6,TabelaFuncionarios[],4,FALSE)</f>
        <v>Tecnologia</v>
      </c>
      <c r="D6" s="16">
        <f>VLOOKUP(A6,TabelaFuncionarios[],5,FALSE)</f>
        <v>5000</v>
      </c>
    </row>
    <row r="7" spans="1:6">
      <c r="A7" s="4">
        <v>12202</v>
      </c>
      <c r="B7" s="5"/>
      <c r="C7" s="5"/>
      <c r="D7" s="16"/>
    </row>
    <row r="8" spans="1:6">
      <c r="A8" s="4">
        <v>12303</v>
      </c>
      <c r="B8" s="5"/>
      <c r="C8" s="5"/>
      <c r="D8" s="16"/>
    </row>
    <row r="9" spans="1:6">
      <c r="A9" s="4">
        <v>12404</v>
      </c>
      <c r="B9" s="5"/>
      <c r="C9" s="5"/>
      <c r="D9" s="16"/>
    </row>
    <row r="10" spans="1:6">
      <c r="A10" s="4">
        <v>12505</v>
      </c>
      <c r="B10" s="5"/>
      <c r="C10" s="5"/>
      <c r="D10" s="16"/>
    </row>
    <row r="11" spans="1:6">
      <c r="A11" s="4">
        <v>12606</v>
      </c>
      <c r="B11" s="5"/>
      <c r="C11" s="5"/>
      <c r="D11" s="16"/>
    </row>
    <row r="12" spans="1:6">
      <c r="A12" s="4">
        <v>12707</v>
      </c>
      <c r="B12" s="5"/>
      <c r="C12" s="5"/>
      <c r="D12" s="16"/>
    </row>
    <row r="13" spans="1:6">
      <c r="A13" s="4">
        <v>12808</v>
      </c>
      <c r="B13" s="5"/>
      <c r="C13" s="5"/>
      <c r="D13" s="16"/>
    </row>
    <row r="14" spans="1:6">
      <c r="A14" s="4">
        <v>12909</v>
      </c>
      <c r="B14" s="5"/>
      <c r="C14" s="5"/>
      <c r="D14" s="16"/>
    </row>
    <row r="15" spans="1:6">
      <c r="A15" s="4">
        <v>13010</v>
      </c>
      <c r="B15" s="5"/>
      <c r="C15" s="5"/>
      <c r="D15" s="16"/>
    </row>
    <row r="16" spans="1:6">
      <c r="A16" s="4">
        <v>13111</v>
      </c>
      <c r="B16" s="5"/>
      <c r="C16" s="5"/>
      <c r="D16" s="16"/>
    </row>
    <row r="17" spans="1:6">
      <c r="A17" s="4">
        <v>13212</v>
      </c>
      <c r="B17" s="5"/>
      <c r="C17" s="5"/>
      <c r="D17" s="16"/>
    </row>
    <row r="18" spans="1:6">
      <c r="A18" s="4">
        <v>13313</v>
      </c>
      <c r="B18" s="5"/>
      <c r="C18" s="5"/>
      <c r="D18" s="16"/>
    </row>
    <row r="19" spans="1:6">
      <c r="A19" s="4">
        <v>13414</v>
      </c>
      <c r="B19" s="5"/>
      <c r="C19" s="5"/>
      <c r="D19" s="16"/>
    </row>
    <row r="20" spans="1:6">
      <c r="A20" s="7">
        <v>13515</v>
      </c>
      <c r="B20" s="5"/>
      <c r="C20" s="8"/>
      <c r="D20" s="17"/>
    </row>
    <row r="22" spans="1:6" ht="15">
      <c r="A22" s="24" t="s">
        <v>49</v>
      </c>
      <c r="B22" s="24"/>
      <c r="C22" s="24"/>
      <c r="D22" s="24"/>
      <c r="E22" s="24"/>
      <c r="F22" s="24"/>
    </row>
    <row r="23" spans="1:6">
      <c r="A23" s="25" t="s">
        <v>56</v>
      </c>
      <c r="B23" s="26"/>
      <c r="C23" s="26"/>
      <c r="D23" s="26"/>
      <c r="E23" s="26"/>
      <c r="F23" s="27"/>
    </row>
    <row r="24" spans="1:6">
      <c r="A24" s="25" t="s">
        <v>57</v>
      </c>
      <c r="B24" s="26"/>
      <c r="C24" s="26"/>
      <c r="D24" s="26"/>
      <c r="E24" s="26"/>
      <c r="F24" s="27"/>
    </row>
    <row r="25" spans="1:6">
      <c r="A25" s="25" t="s">
        <v>58</v>
      </c>
      <c r="B25" s="26"/>
      <c r="C25" s="26"/>
      <c r="D25" s="26"/>
      <c r="E25" s="26"/>
      <c r="F25" s="27"/>
    </row>
    <row r="26" spans="1:6">
      <c r="A26" s="25" t="s">
        <v>59</v>
      </c>
      <c r="B26" s="26"/>
      <c r="C26" s="26"/>
      <c r="D26" s="26"/>
      <c r="E26" s="26"/>
      <c r="F26" s="27"/>
    </row>
  </sheetData>
  <mergeCells count="7">
    <mergeCell ref="A25:F25"/>
    <mergeCell ref="A26:F26"/>
    <mergeCell ref="A1:F1"/>
    <mergeCell ref="A2:F2"/>
    <mergeCell ref="A22:F22"/>
    <mergeCell ref="A23:F23"/>
    <mergeCell ref="A24:F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activeCell="A5" sqref="A5"/>
    </sheetView>
  </sheetViews>
  <sheetFormatPr defaultRowHeight="14.25"/>
  <cols>
    <col min="1" max="1" width="28" customWidth="1"/>
    <col min="2" max="2" width="20" customWidth="1"/>
    <col min="3" max="3" width="16" customWidth="1"/>
    <col min="5" max="5" width="36" customWidth="1"/>
  </cols>
  <sheetData>
    <row r="1" spans="1:6" ht="27.95" customHeight="1">
      <c r="A1" s="22" t="s">
        <v>60</v>
      </c>
      <c r="B1" s="22"/>
      <c r="C1" s="22"/>
      <c r="D1" s="22"/>
      <c r="E1" s="22"/>
      <c r="F1" s="22"/>
    </row>
    <row r="2" spans="1:6" ht="36" customHeight="1">
      <c r="A2" s="23" t="s">
        <v>61</v>
      </c>
      <c r="B2" s="23"/>
      <c r="C2" s="23"/>
      <c r="D2" s="23"/>
      <c r="E2" s="23"/>
      <c r="F2" s="23"/>
    </row>
    <row r="4" spans="1:6" ht="27.95" customHeight="1">
      <c r="A4" s="1" t="s">
        <v>62</v>
      </c>
      <c r="B4" s="2" t="s">
        <v>5</v>
      </c>
      <c r="C4" s="3" t="s">
        <v>6</v>
      </c>
    </row>
    <row r="5" spans="1:6">
      <c r="A5" s="4" t="s">
        <v>16</v>
      </c>
      <c r="B5" s="5"/>
      <c r="C5" s="16"/>
    </row>
    <row r="6" spans="1:6">
      <c r="A6" s="4"/>
      <c r="B6" s="5"/>
      <c r="C6" s="16"/>
    </row>
    <row r="7" spans="1:6">
      <c r="A7" s="4"/>
      <c r="B7" s="5"/>
      <c r="C7" s="16"/>
    </row>
    <row r="8" spans="1:6">
      <c r="A8" s="4"/>
      <c r="B8" s="5"/>
      <c r="C8" s="16"/>
    </row>
    <row r="9" spans="1:6">
      <c r="A9" s="4"/>
      <c r="B9" s="5"/>
      <c r="C9" s="16"/>
    </row>
    <row r="10" spans="1:6">
      <c r="A10" s="4"/>
      <c r="B10" s="5"/>
      <c r="C10" s="16"/>
    </row>
    <row r="11" spans="1:6">
      <c r="A11" s="4"/>
      <c r="B11" s="5"/>
      <c r="C11" s="16"/>
    </row>
    <row r="12" spans="1:6">
      <c r="A12" s="4"/>
      <c r="B12" s="5"/>
      <c r="C12" s="16"/>
    </row>
    <row r="13" spans="1:6">
      <c r="A13" s="4"/>
      <c r="B13" s="5"/>
      <c r="C13" s="16"/>
    </row>
    <row r="14" spans="1:6">
      <c r="A14" s="4"/>
      <c r="B14" s="5"/>
      <c r="C14" s="16"/>
    </row>
    <row r="15" spans="1:6">
      <c r="A15" s="4"/>
      <c r="B15" s="5"/>
      <c r="C15" s="16"/>
    </row>
    <row r="16" spans="1:6">
      <c r="A16" s="4"/>
      <c r="B16" s="5"/>
      <c r="C16" s="16"/>
    </row>
    <row r="17" spans="1:6">
      <c r="A17" s="4"/>
      <c r="B17" s="5"/>
      <c r="C17" s="16"/>
    </row>
    <row r="18" spans="1:6">
      <c r="A18" s="4"/>
      <c r="B18" s="5"/>
      <c r="C18" s="16"/>
    </row>
    <row r="19" spans="1:6">
      <c r="A19" s="7"/>
      <c r="B19" s="8"/>
      <c r="C19" s="17"/>
    </row>
    <row r="21" spans="1:6" ht="15">
      <c r="A21" s="24" t="s">
        <v>49</v>
      </c>
      <c r="B21" s="24"/>
      <c r="C21" s="24"/>
      <c r="D21" s="24"/>
      <c r="E21" s="24"/>
      <c r="F21" s="24"/>
    </row>
    <row r="22" spans="1:6">
      <c r="A22" s="25" t="s">
        <v>63</v>
      </c>
      <c r="B22" s="26"/>
      <c r="C22" s="26"/>
      <c r="D22" s="26"/>
      <c r="E22" s="26"/>
      <c r="F22" s="27"/>
    </row>
    <row r="23" spans="1:6">
      <c r="A23" s="25" t="s">
        <v>64</v>
      </c>
      <c r="B23" s="26"/>
      <c r="C23" s="26"/>
      <c r="D23" s="26"/>
      <c r="E23" s="26"/>
      <c r="F23" s="27"/>
    </row>
    <row r="24" spans="1:6">
      <c r="A24" s="25" t="s">
        <v>65</v>
      </c>
      <c r="B24" s="26"/>
      <c r="C24" s="26"/>
      <c r="D24" s="26"/>
      <c r="E24" s="26"/>
      <c r="F24" s="27"/>
    </row>
    <row r="25" spans="1:6">
      <c r="A25" s="25" t="s">
        <v>66</v>
      </c>
      <c r="B25" s="26"/>
      <c r="C25" s="26"/>
      <c r="D25" s="26"/>
      <c r="E25" s="26"/>
      <c r="F25" s="27"/>
    </row>
    <row r="26" spans="1:6">
      <c r="A26" s="25" t="s">
        <v>67</v>
      </c>
      <c r="B26" s="26"/>
      <c r="C26" s="26"/>
      <c r="D26" s="26"/>
      <c r="E26" s="26"/>
      <c r="F26" s="27"/>
    </row>
  </sheetData>
  <mergeCells count="8">
    <mergeCell ref="A24:F24"/>
    <mergeCell ref="A25:F25"/>
    <mergeCell ref="A26:F26"/>
    <mergeCell ref="A1:F1"/>
    <mergeCell ref="A2:F2"/>
    <mergeCell ref="A21:F21"/>
    <mergeCell ref="A22:F22"/>
    <mergeCell ref="A23:F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'Base Funcionarios'!$B$5:$B$29</xm:f>
          </x14:formula1>
          <xm:sqref>A5:A19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4.25"/>
  <cols>
    <col min="1" max="1" width="22" customWidth="1"/>
    <col min="2" max="2" width="20" customWidth="1"/>
    <col min="4" max="4" width="42" customWidth="1"/>
  </cols>
  <sheetData>
    <row r="1" spans="1:6" ht="27.95" customHeight="1">
      <c r="A1" s="22" t="s">
        <v>68</v>
      </c>
      <c r="B1" s="22"/>
      <c r="C1" s="22"/>
      <c r="D1" s="22"/>
      <c r="E1" s="22"/>
      <c r="F1" s="22"/>
    </row>
    <row r="2" spans="1:6" ht="36" customHeight="1">
      <c r="A2" s="23" t="s">
        <v>69</v>
      </c>
      <c r="B2" s="23"/>
      <c r="C2" s="23"/>
      <c r="D2" s="23"/>
      <c r="E2" s="23"/>
      <c r="F2" s="23"/>
    </row>
    <row r="4" spans="1:6" ht="27.95" customHeight="1">
      <c r="A4" s="1" t="s">
        <v>5</v>
      </c>
      <c r="B4" s="3" t="s">
        <v>70</v>
      </c>
    </row>
    <row r="5" spans="1:6">
      <c r="A5" s="4" t="s">
        <v>18</v>
      </c>
      <c r="B5" s="16"/>
    </row>
    <row r="6" spans="1:6">
      <c r="A6" s="4" t="s">
        <v>30</v>
      </c>
      <c r="B6" s="16"/>
    </row>
    <row r="7" spans="1:6">
      <c r="A7" s="4" t="s">
        <v>24</v>
      </c>
      <c r="B7" s="16"/>
    </row>
    <row r="8" spans="1:6">
      <c r="A8" s="4" t="s">
        <v>36</v>
      </c>
      <c r="B8" s="16"/>
    </row>
    <row r="9" spans="1:6">
      <c r="A9" s="4" t="s">
        <v>28</v>
      </c>
      <c r="B9" s="16"/>
    </row>
    <row r="10" spans="1:6">
      <c r="A10" s="4" t="s">
        <v>20</v>
      </c>
      <c r="B10" s="16"/>
    </row>
    <row r="11" spans="1:6">
      <c r="A11" s="4" t="s">
        <v>13</v>
      </c>
      <c r="B11" s="16"/>
    </row>
    <row r="12" spans="1:6">
      <c r="A12" s="4" t="s">
        <v>11</v>
      </c>
      <c r="B12" s="16"/>
    </row>
    <row r="13" spans="1:6">
      <c r="A13" s="4" t="s">
        <v>15</v>
      </c>
      <c r="B13" s="16"/>
    </row>
    <row r="14" spans="1:6">
      <c r="A14" s="4" t="s">
        <v>26</v>
      </c>
      <c r="B14" s="16"/>
    </row>
    <row r="15" spans="1:6">
      <c r="A15" s="4" t="s">
        <v>40</v>
      </c>
      <c r="B15" s="16"/>
    </row>
    <row r="16" spans="1:6">
      <c r="A16" s="4" t="s">
        <v>32</v>
      </c>
      <c r="B16" s="16"/>
    </row>
    <row r="17" spans="1:6">
      <c r="A17" s="4" t="s">
        <v>34</v>
      </c>
      <c r="B17" s="16"/>
    </row>
    <row r="18" spans="1:6">
      <c r="A18" s="4" t="s">
        <v>38</v>
      </c>
      <c r="B18" s="16"/>
    </row>
    <row r="19" spans="1:6">
      <c r="A19" s="7" t="s">
        <v>22</v>
      </c>
      <c r="B19" s="17"/>
    </row>
    <row r="21" spans="1:6" ht="15">
      <c r="A21" s="24" t="s">
        <v>49</v>
      </c>
      <c r="B21" s="24"/>
      <c r="C21" s="24"/>
      <c r="D21" s="24"/>
      <c r="E21" s="24"/>
      <c r="F21" s="24"/>
    </row>
    <row r="22" spans="1:6">
      <c r="A22" s="25" t="s">
        <v>71</v>
      </c>
      <c r="B22" s="26"/>
      <c r="C22" s="26"/>
      <c r="D22" s="26"/>
      <c r="E22" s="26"/>
      <c r="F22" s="27"/>
    </row>
    <row r="23" spans="1:6">
      <c r="A23" s="25" t="s">
        <v>72</v>
      </c>
      <c r="B23" s="26"/>
      <c r="C23" s="26"/>
      <c r="D23" s="26"/>
      <c r="E23" s="26"/>
      <c r="F23" s="27"/>
    </row>
    <row r="24" spans="1:6">
      <c r="A24" s="25" t="s">
        <v>73</v>
      </c>
      <c r="B24" s="26"/>
      <c r="C24" s="26"/>
      <c r="D24" s="26"/>
      <c r="E24" s="26"/>
      <c r="F24" s="27"/>
    </row>
    <row r="25" spans="1:6">
      <c r="A25" s="25" t="s">
        <v>74</v>
      </c>
      <c r="B25" s="26"/>
      <c r="C25" s="26"/>
      <c r="D25" s="26"/>
      <c r="E25" s="26"/>
      <c r="F25" s="27"/>
    </row>
  </sheetData>
  <mergeCells count="7">
    <mergeCell ref="A24:F24"/>
    <mergeCell ref="A25:F25"/>
    <mergeCell ref="A1:F1"/>
    <mergeCell ref="A2:F2"/>
    <mergeCell ref="A21:F21"/>
    <mergeCell ref="A22:F22"/>
    <mergeCell ref="A23:F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tabSelected="1" topLeftCell="D15" workbookViewId="0">
      <selection activeCell="O33" sqref="O33"/>
    </sheetView>
  </sheetViews>
  <sheetFormatPr defaultRowHeight="14.25"/>
  <cols>
    <col min="1" max="1" width="24" customWidth="1"/>
    <col min="2" max="2" width="16" customWidth="1"/>
    <col min="3" max="3" width="17" customWidth="1"/>
    <col min="4" max="4" width="16" customWidth="1"/>
    <col min="5" max="5" width="18" customWidth="1"/>
    <col min="6" max="6" width="12" customWidth="1"/>
    <col min="7" max="7" width="17" customWidth="1"/>
    <col min="9" max="9" width="22" customWidth="1"/>
    <col min="10" max="10" width="12" customWidth="1"/>
  </cols>
  <sheetData>
    <row r="1" spans="1:10" ht="27.95" customHeight="1">
      <c r="A1" s="22" t="s">
        <v>75</v>
      </c>
      <c r="B1" s="22"/>
      <c r="C1" s="22"/>
      <c r="D1" s="22"/>
      <c r="E1" s="22"/>
      <c r="F1" s="22"/>
      <c r="G1" s="22"/>
      <c r="H1" s="22"/>
    </row>
    <row r="2" spans="1:10" ht="36" customHeight="1">
      <c r="A2" s="23" t="s">
        <v>76</v>
      </c>
      <c r="B2" s="23"/>
      <c r="C2" s="23"/>
      <c r="D2" s="23"/>
      <c r="E2" s="23"/>
      <c r="F2" s="23"/>
      <c r="G2" s="23"/>
      <c r="H2" s="23"/>
    </row>
    <row r="4" spans="1:10" ht="27.95" customHeight="1">
      <c r="A4" s="1" t="s">
        <v>3</v>
      </c>
      <c r="B4" s="2" t="s">
        <v>77</v>
      </c>
      <c r="C4" s="2" t="s">
        <v>78</v>
      </c>
      <c r="D4" s="2" t="s">
        <v>79</v>
      </c>
      <c r="E4" s="2" t="s">
        <v>80</v>
      </c>
      <c r="F4" s="2" t="s">
        <v>81</v>
      </c>
      <c r="G4" s="3" t="s">
        <v>82</v>
      </c>
      <c r="I4" s="1" t="s">
        <v>83</v>
      </c>
      <c r="J4" s="3" t="s">
        <v>81</v>
      </c>
    </row>
    <row r="5" spans="1:10">
      <c r="A5" s="4" t="s">
        <v>17</v>
      </c>
      <c r="B5" s="12">
        <v>4200</v>
      </c>
      <c r="C5" s="10">
        <v>43535</v>
      </c>
      <c r="D5" s="5">
        <f ca="1">YEAR(TODAY())-YEAR(C5)</f>
        <v>7</v>
      </c>
      <c r="E5" s="5" t="str">
        <f ca="1">IF(D5&lt;=2,"Até 2 anos",IF(D5&lt;=5,"De 2 a 5 anos",IF(D5&lt;=10,"de 5 a 10 anos",IF(D5&lt;=15,"De 10 a 15 anos","Mais de 15 anos"))))</f>
        <v>de 5 a 10 anos</v>
      </c>
      <c r="F5" s="18">
        <v>0.05</v>
      </c>
      <c r="G5" s="16">
        <f>B5+(B5*F5)</f>
        <v>4410</v>
      </c>
      <c r="I5" s="4" t="s">
        <v>84</v>
      </c>
      <c r="J5" s="20">
        <v>0.01</v>
      </c>
    </row>
    <row r="6" spans="1:10">
      <c r="A6" s="4" t="s">
        <v>19</v>
      </c>
      <c r="B6" s="12">
        <v>6500</v>
      </c>
      <c r="C6" s="10">
        <v>40917</v>
      </c>
      <c r="D6" s="5"/>
      <c r="E6" s="5"/>
      <c r="F6" s="18"/>
      <c r="G6" s="16"/>
      <c r="I6" s="4" t="s">
        <v>85</v>
      </c>
      <c r="J6" s="20">
        <v>0.02</v>
      </c>
    </row>
    <row r="7" spans="1:10">
      <c r="A7" s="4" t="s">
        <v>21</v>
      </c>
      <c r="B7" s="12">
        <v>4600</v>
      </c>
      <c r="C7" s="10">
        <v>44333</v>
      </c>
      <c r="D7" s="5"/>
      <c r="E7" s="5"/>
      <c r="F7" s="18"/>
      <c r="G7" s="16"/>
      <c r="I7" s="4" t="s">
        <v>86</v>
      </c>
      <c r="J7" s="20">
        <v>0.05</v>
      </c>
    </row>
    <row r="8" spans="1:10">
      <c r="A8" s="4" t="s">
        <v>23</v>
      </c>
      <c r="B8" s="12">
        <v>5100</v>
      </c>
      <c r="C8" s="10">
        <v>42968</v>
      </c>
      <c r="D8" s="5"/>
      <c r="E8" s="5"/>
      <c r="F8" s="18"/>
      <c r="G8" s="16"/>
      <c r="I8" s="4" t="s">
        <v>87</v>
      </c>
      <c r="J8" s="20">
        <v>7.0000000000000007E-2</v>
      </c>
    </row>
    <row r="9" spans="1:10">
      <c r="A9" s="4" t="s">
        <v>25</v>
      </c>
      <c r="B9" s="12">
        <v>5700</v>
      </c>
      <c r="C9" s="10">
        <v>40343</v>
      </c>
      <c r="D9" s="5"/>
      <c r="E9" s="5"/>
      <c r="F9" s="18"/>
      <c r="G9" s="16"/>
      <c r="I9" s="7" t="s">
        <v>88</v>
      </c>
      <c r="J9" s="21">
        <v>0.1</v>
      </c>
    </row>
    <row r="10" spans="1:10">
      <c r="A10" s="4" t="s">
        <v>27</v>
      </c>
      <c r="B10" s="12">
        <v>3900</v>
      </c>
      <c r="C10" s="10">
        <v>45323</v>
      </c>
      <c r="D10" s="5"/>
      <c r="E10" s="5"/>
      <c r="F10" s="18"/>
      <c r="G10" s="16"/>
    </row>
    <row r="11" spans="1:10">
      <c r="A11" s="4" t="s">
        <v>29</v>
      </c>
      <c r="B11" s="12">
        <v>4100</v>
      </c>
      <c r="C11" s="10">
        <v>44109</v>
      </c>
      <c r="D11" s="5"/>
      <c r="E11" s="5"/>
      <c r="F11" s="18"/>
      <c r="G11" s="16"/>
    </row>
    <row r="12" spans="1:10">
      <c r="A12" s="4" t="s">
        <v>31</v>
      </c>
      <c r="B12" s="12">
        <v>6200</v>
      </c>
      <c r="C12" s="10">
        <v>41736</v>
      </c>
      <c r="D12" s="5"/>
      <c r="E12" s="5"/>
      <c r="F12" s="18"/>
      <c r="G12" s="16"/>
    </row>
    <row r="13" spans="1:10">
      <c r="A13" s="4" t="s">
        <v>33</v>
      </c>
      <c r="B13" s="12">
        <v>5300</v>
      </c>
      <c r="C13" s="10">
        <v>44760</v>
      </c>
      <c r="D13" s="5"/>
      <c r="E13" s="5"/>
      <c r="F13" s="18"/>
      <c r="G13" s="16"/>
    </row>
    <row r="14" spans="1:10">
      <c r="A14" s="4" t="s">
        <v>35</v>
      </c>
      <c r="B14" s="12">
        <v>4900</v>
      </c>
      <c r="C14" s="10">
        <v>43416</v>
      </c>
      <c r="D14" s="5"/>
      <c r="E14" s="5"/>
      <c r="F14" s="18"/>
      <c r="G14" s="16"/>
    </row>
    <row r="15" spans="1:10">
      <c r="A15" s="4" t="s">
        <v>37</v>
      </c>
      <c r="B15" s="12">
        <v>4500</v>
      </c>
      <c r="C15" s="10">
        <v>44942</v>
      </c>
      <c r="D15" s="5"/>
      <c r="E15" s="5"/>
      <c r="F15" s="18"/>
      <c r="G15" s="16"/>
    </row>
    <row r="16" spans="1:10">
      <c r="A16" s="4" t="s">
        <v>39</v>
      </c>
      <c r="B16" s="12">
        <v>5800</v>
      </c>
      <c r="C16" s="10">
        <v>41519</v>
      </c>
      <c r="D16" s="5"/>
      <c r="E16" s="5"/>
      <c r="F16" s="18"/>
      <c r="G16" s="16"/>
    </row>
    <row r="17" spans="1:10">
      <c r="A17" s="4" t="s">
        <v>41</v>
      </c>
      <c r="B17" s="12">
        <v>5400</v>
      </c>
      <c r="C17" s="10">
        <v>44676</v>
      </c>
      <c r="D17" s="5"/>
      <c r="E17" s="5"/>
      <c r="F17" s="18"/>
      <c r="G17" s="16"/>
    </row>
    <row r="18" spans="1:10">
      <c r="A18" s="4" t="s">
        <v>42</v>
      </c>
      <c r="B18" s="12">
        <v>6100</v>
      </c>
      <c r="C18" s="10">
        <v>40148</v>
      </c>
      <c r="D18" s="5"/>
      <c r="E18" s="5"/>
      <c r="F18" s="18"/>
      <c r="G18" s="16"/>
    </row>
    <row r="19" spans="1:10">
      <c r="A19" s="7" t="s">
        <v>43</v>
      </c>
      <c r="B19" s="13">
        <v>4400</v>
      </c>
      <c r="C19" s="11">
        <v>45698</v>
      </c>
      <c r="D19" s="8"/>
      <c r="E19" s="8"/>
      <c r="F19" s="19"/>
      <c r="G19" s="17"/>
    </row>
    <row r="21" spans="1:10" ht="15">
      <c r="A21" s="24" t="s">
        <v>49</v>
      </c>
      <c r="B21" s="24"/>
      <c r="C21" s="24"/>
      <c r="D21" s="24"/>
      <c r="E21" s="24"/>
      <c r="F21" s="24"/>
      <c r="G21" s="24"/>
      <c r="H21" s="24"/>
      <c r="I21" s="24"/>
      <c r="J21" s="24"/>
    </row>
    <row r="22" spans="1:10">
      <c r="A22" s="25" t="s">
        <v>89</v>
      </c>
      <c r="B22" s="26"/>
      <c r="C22" s="26"/>
      <c r="D22" s="26"/>
      <c r="E22" s="26"/>
      <c r="F22" s="26"/>
      <c r="G22" s="26"/>
      <c r="H22" s="26"/>
      <c r="I22" s="26"/>
      <c r="J22" s="27"/>
    </row>
    <row r="23" spans="1:10">
      <c r="A23" s="25" t="s">
        <v>90</v>
      </c>
      <c r="B23" s="26"/>
      <c r="C23" s="26"/>
      <c r="D23" s="26"/>
      <c r="E23" s="26"/>
      <c r="F23" s="26"/>
      <c r="G23" s="26"/>
      <c r="H23" s="26"/>
      <c r="I23" s="26"/>
      <c r="J23" s="27"/>
    </row>
    <row r="24" spans="1:10">
      <c r="A24" s="25" t="s">
        <v>91</v>
      </c>
      <c r="B24" s="26"/>
      <c r="C24" s="26"/>
      <c r="D24" s="26"/>
      <c r="E24" s="26"/>
      <c r="F24" s="26"/>
      <c r="G24" s="26"/>
      <c r="H24" s="26"/>
      <c r="I24" s="26"/>
      <c r="J24" s="27"/>
    </row>
    <row r="25" spans="1:10">
      <c r="A25" s="25" t="s">
        <v>92</v>
      </c>
      <c r="B25" s="26"/>
      <c r="C25" s="26"/>
      <c r="D25" s="26"/>
      <c r="E25" s="26"/>
      <c r="F25" s="26"/>
      <c r="G25" s="26"/>
      <c r="H25" s="26"/>
      <c r="I25" s="26"/>
      <c r="J25" s="27"/>
    </row>
    <row r="26" spans="1:10">
      <c r="A26" s="25" t="s">
        <v>93</v>
      </c>
      <c r="B26" s="26"/>
      <c r="C26" s="26"/>
      <c r="D26" s="26"/>
      <c r="E26" s="26"/>
      <c r="F26" s="26"/>
      <c r="G26" s="26"/>
      <c r="H26" s="26"/>
      <c r="I26" s="26"/>
      <c r="J26" s="27"/>
    </row>
    <row r="28" spans="1:10" ht="27.95" customHeight="1">
      <c r="I28" s="1" t="s">
        <v>80</v>
      </c>
      <c r="J28" s="3" t="s">
        <v>94</v>
      </c>
    </row>
    <row r="29" spans="1:10">
      <c r="I29" s="4" t="s">
        <v>84</v>
      </c>
      <c r="J29" s="16"/>
    </row>
    <row r="30" spans="1:10">
      <c r="I30" s="4" t="s">
        <v>85</v>
      </c>
      <c r="J30" s="16"/>
    </row>
    <row r="31" spans="1:10">
      <c r="I31" s="4" t="s">
        <v>86</v>
      </c>
      <c r="J31" s="16"/>
    </row>
    <row r="32" spans="1:10">
      <c r="I32" s="4" t="s">
        <v>87</v>
      </c>
      <c r="J32" s="16"/>
    </row>
    <row r="33" spans="9:10">
      <c r="I33" s="7" t="s">
        <v>88</v>
      </c>
      <c r="J33" s="17"/>
    </row>
  </sheetData>
  <mergeCells count="8">
    <mergeCell ref="A24:J24"/>
    <mergeCell ref="A25:J25"/>
    <mergeCell ref="A26:J26"/>
    <mergeCell ref="A1:H1"/>
    <mergeCell ref="A2:H2"/>
    <mergeCell ref="A21:J21"/>
    <mergeCell ref="A22:J22"/>
    <mergeCell ref="A23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workbookViewId="0"/>
  </sheetViews>
  <sheetFormatPr defaultRowHeight="14.25"/>
  <cols>
    <col min="1" max="1" width="24" customWidth="1"/>
    <col min="2" max="2" width="19" customWidth="1"/>
    <col min="3" max="3" width="12" customWidth="1"/>
    <col min="5" max="5" width="42" customWidth="1"/>
  </cols>
  <sheetData>
    <row r="1" spans="1:6" ht="27.95" customHeight="1">
      <c r="A1" s="22" t="s">
        <v>95</v>
      </c>
      <c r="B1" s="22"/>
      <c r="C1" s="22"/>
      <c r="D1" s="22"/>
      <c r="E1" s="22"/>
      <c r="F1" s="22"/>
    </row>
    <row r="2" spans="1:6" ht="36" customHeight="1">
      <c r="A2" s="23" t="s">
        <v>96</v>
      </c>
      <c r="B2" s="23"/>
      <c r="C2" s="23"/>
      <c r="D2" s="23"/>
      <c r="E2" s="23"/>
      <c r="F2" s="23"/>
    </row>
    <row r="4" spans="1:6" ht="27.95" customHeight="1">
      <c r="A4" s="1" t="s">
        <v>3</v>
      </c>
      <c r="B4" s="2" t="s">
        <v>4</v>
      </c>
      <c r="C4" s="3" t="s">
        <v>97</v>
      </c>
    </row>
    <row r="5" spans="1:6">
      <c r="A5" s="4" t="s">
        <v>27</v>
      </c>
      <c r="B5" s="10">
        <v>36469</v>
      </c>
      <c r="C5" s="6"/>
    </row>
    <row r="6" spans="1:6">
      <c r="A6" s="4" t="s">
        <v>29</v>
      </c>
      <c r="B6" s="10">
        <v>34423</v>
      </c>
      <c r="C6" s="6"/>
    </row>
    <row r="7" spans="1:6">
      <c r="A7" s="4" t="s">
        <v>31</v>
      </c>
      <c r="B7" s="10">
        <v>31947</v>
      </c>
      <c r="C7" s="6"/>
    </row>
    <row r="8" spans="1:6">
      <c r="A8" s="4" t="s">
        <v>33</v>
      </c>
      <c r="B8" s="10">
        <v>36777</v>
      </c>
      <c r="C8" s="6"/>
    </row>
    <row r="9" spans="1:6">
      <c r="A9" s="4" t="s">
        <v>35</v>
      </c>
      <c r="B9" s="10">
        <v>33384</v>
      </c>
      <c r="C9" s="6"/>
    </row>
    <row r="10" spans="1:6">
      <c r="A10" s="4" t="s">
        <v>37</v>
      </c>
      <c r="B10" s="10">
        <v>35253</v>
      </c>
      <c r="C10" s="6"/>
    </row>
    <row r="11" spans="1:6">
      <c r="A11" s="4" t="s">
        <v>39</v>
      </c>
      <c r="B11" s="10">
        <v>32751</v>
      </c>
      <c r="C11" s="6"/>
    </row>
    <row r="12" spans="1:6">
      <c r="A12" s="4" t="s">
        <v>41</v>
      </c>
      <c r="B12" s="10">
        <v>35717</v>
      </c>
      <c r="C12" s="6"/>
    </row>
    <row r="13" spans="1:6">
      <c r="A13" s="4" t="s">
        <v>42</v>
      </c>
      <c r="B13" s="10">
        <v>31018</v>
      </c>
      <c r="C13" s="6"/>
    </row>
    <row r="14" spans="1:6">
      <c r="A14" s="4" t="s">
        <v>43</v>
      </c>
      <c r="B14" s="10">
        <v>36916</v>
      </c>
      <c r="C14" s="6"/>
    </row>
    <row r="15" spans="1:6">
      <c r="A15" s="4" t="s">
        <v>44</v>
      </c>
      <c r="B15" s="10">
        <v>31569</v>
      </c>
      <c r="C15" s="6"/>
    </row>
    <row r="16" spans="1:6">
      <c r="A16" s="4" t="s">
        <v>45</v>
      </c>
      <c r="B16" s="10">
        <v>34017</v>
      </c>
      <c r="C16" s="6"/>
    </row>
    <row r="17" spans="1:6">
      <c r="A17" s="4" t="s">
        <v>46</v>
      </c>
      <c r="B17" s="10">
        <v>35897</v>
      </c>
      <c r="C17" s="6"/>
    </row>
    <row r="18" spans="1:6">
      <c r="A18" s="4" t="s">
        <v>47</v>
      </c>
      <c r="B18" s="10">
        <v>30283</v>
      </c>
      <c r="C18" s="6"/>
    </row>
    <row r="19" spans="1:6">
      <c r="A19" s="7" t="s">
        <v>48</v>
      </c>
      <c r="B19" s="11">
        <v>37324</v>
      </c>
      <c r="C19" s="9"/>
    </row>
    <row r="21" spans="1:6" ht="15">
      <c r="A21" s="24" t="s">
        <v>49</v>
      </c>
      <c r="B21" s="24"/>
      <c r="C21" s="24"/>
      <c r="D21" s="24"/>
      <c r="E21" s="24"/>
      <c r="F21" s="24"/>
    </row>
    <row r="22" spans="1:6">
      <c r="A22" s="25" t="s">
        <v>98</v>
      </c>
      <c r="B22" s="26"/>
      <c r="C22" s="26"/>
      <c r="D22" s="26"/>
      <c r="E22" s="26"/>
      <c r="F22" s="27"/>
    </row>
    <row r="23" spans="1:6">
      <c r="A23" s="25" t="s">
        <v>99</v>
      </c>
      <c r="B23" s="26"/>
      <c r="C23" s="26"/>
      <c r="D23" s="26"/>
      <c r="E23" s="26"/>
      <c r="F23" s="27"/>
    </row>
    <row r="24" spans="1:6">
      <c r="A24" s="25" t="s">
        <v>100</v>
      </c>
      <c r="B24" s="26"/>
      <c r="C24" s="26"/>
      <c r="D24" s="26"/>
      <c r="E24" s="26"/>
      <c r="F24" s="27"/>
    </row>
    <row r="25" spans="1:6">
      <c r="A25" s="25" t="s">
        <v>101</v>
      </c>
      <c r="B25" s="26"/>
      <c r="C25" s="26"/>
      <c r="D25" s="26"/>
      <c r="E25" s="26"/>
      <c r="F25" s="27"/>
    </row>
  </sheetData>
  <mergeCells count="7">
    <mergeCell ref="A24:F24"/>
    <mergeCell ref="A25:F25"/>
    <mergeCell ref="A1:F1"/>
    <mergeCell ref="A2:F2"/>
    <mergeCell ref="A21:F21"/>
    <mergeCell ref="A22:F22"/>
    <mergeCell ref="A23:F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/>
  </sheetViews>
  <sheetFormatPr defaultRowHeight="14.25"/>
  <cols>
    <col min="1" max="1" width="25" customWidth="1"/>
    <col min="2" max="2" width="16" customWidth="1"/>
    <col min="3" max="3" width="18" customWidth="1"/>
    <col min="4" max="4" width="15" customWidth="1"/>
    <col min="5" max="5" width="16" customWidth="1"/>
    <col min="6" max="6" width="10" customWidth="1"/>
    <col min="7" max="7" width="14" customWidth="1"/>
    <col min="8" max="8" width="19" customWidth="1"/>
  </cols>
  <sheetData>
    <row r="1" spans="1:9" ht="27.95" customHeight="1">
      <c r="A1" s="22" t="s">
        <v>102</v>
      </c>
      <c r="B1" s="22"/>
      <c r="C1" s="22"/>
      <c r="D1" s="22"/>
      <c r="E1" s="22"/>
      <c r="F1" s="22"/>
      <c r="G1" s="22"/>
      <c r="H1" s="22"/>
      <c r="I1" s="22"/>
    </row>
    <row r="2" spans="1:9" ht="36" customHeight="1">
      <c r="A2" s="23" t="s">
        <v>103</v>
      </c>
      <c r="B2" s="23"/>
      <c r="C2" s="23"/>
      <c r="D2" s="23"/>
      <c r="E2" s="23"/>
      <c r="F2" s="23"/>
      <c r="G2" s="23"/>
      <c r="H2" s="23"/>
      <c r="I2" s="23"/>
    </row>
    <row r="4" spans="1:9" ht="27.95" customHeight="1">
      <c r="A4" s="1" t="s">
        <v>3</v>
      </c>
      <c r="B4" s="2" t="s">
        <v>104</v>
      </c>
      <c r="C4" s="2" t="s">
        <v>5</v>
      </c>
      <c r="D4" s="2" t="s">
        <v>6</v>
      </c>
      <c r="E4" s="2" t="s">
        <v>105</v>
      </c>
      <c r="F4" s="2" t="s">
        <v>97</v>
      </c>
      <c r="G4" s="2" t="s">
        <v>106</v>
      </c>
      <c r="H4" s="3" t="s">
        <v>107</v>
      </c>
    </row>
    <row r="5" spans="1:9">
      <c r="A5" s="4"/>
      <c r="B5" s="10"/>
      <c r="C5" s="5"/>
      <c r="D5" s="12"/>
      <c r="E5" s="10"/>
      <c r="F5" s="5"/>
      <c r="G5" s="5"/>
      <c r="H5" s="16"/>
    </row>
    <row r="6" spans="1:9">
      <c r="A6" s="4"/>
      <c r="B6" s="10"/>
      <c r="C6" s="5"/>
      <c r="D6" s="12"/>
      <c r="E6" s="10"/>
      <c r="F6" s="5"/>
      <c r="G6" s="5"/>
      <c r="H6" s="16"/>
    </row>
    <row r="7" spans="1:9">
      <c r="A7" s="4"/>
      <c r="B7" s="10"/>
      <c r="C7" s="5"/>
      <c r="D7" s="12"/>
      <c r="E7" s="10"/>
      <c r="F7" s="5"/>
      <c r="G7" s="5"/>
      <c r="H7" s="16"/>
    </row>
    <row r="8" spans="1:9">
      <c r="A8" s="4"/>
      <c r="B8" s="10"/>
      <c r="C8" s="5"/>
      <c r="D8" s="12"/>
      <c r="E8" s="10"/>
      <c r="F8" s="5"/>
      <c r="G8" s="5"/>
      <c r="H8" s="16"/>
    </row>
    <row r="9" spans="1:9">
      <c r="A9" s="4"/>
      <c r="B9" s="10"/>
      <c r="C9" s="5"/>
      <c r="D9" s="12"/>
      <c r="E9" s="10"/>
      <c r="F9" s="5"/>
      <c r="G9" s="5"/>
      <c r="H9" s="16"/>
    </row>
    <row r="10" spans="1:9">
      <c r="A10" s="4"/>
      <c r="B10" s="10"/>
      <c r="C10" s="5"/>
      <c r="D10" s="12"/>
      <c r="E10" s="10"/>
      <c r="F10" s="5"/>
      <c r="G10" s="5"/>
      <c r="H10" s="16"/>
    </row>
    <row r="11" spans="1:9">
      <c r="A11" s="4"/>
      <c r="B11" s="10"/>
      <c r="C11" s="5"/>
      <c r="D11" s="12"/>
      <c r="E11" s="10"/>
      <c r="F11" s="5"/>
      <c r="G11" s="5"/>
      <c r="H11" s="16"/>
    </row>
    <row r="12" spans="1:9">
      <c r="A12" s="4"/>
      <c r="B12" s="10"/>
      <c r="C12" s="5"/>
      <c r="D12" s="12"/>
      <c r="E12" s="10"/>
      <c r="F12" s="5"/>
      <c r="G12" s="5"/>
      <c r="H12" s="16"/>
    </row>
    <row r="13" spans="1:9">
      <c r="A13" s="4"/>
      <c r="B13" s="10"/>
      <c r="C13" s="5"/>
      <c r="D13" s="12"/>
      <c r="E13" s="10"/>
      <c r="F13" s="5"/>
      <c r="G13" s="5"/>
      <c r="H13" s="16"/>
    </row>
    <row r="14" spans="1:9">
      <c r="A14" s="4"/>
      <c r="B14" s="10"/>
      <c r="C14" s="5"/>
      <c r="D14" s="12"/>
      <c r="E14" s="10"/>
      <c r="F14" s="5"/>
      <c r="G14" s="5"/>
      <c r="H14" s="16"/>
    </row>
    <row r="15" spans="1:9">
      <c r="A15" s="4"/>
      <c r="B15" s="10"/>
      <c r="C15" s="5"/>
      <c r="D15" s="12"/>
      <c r="E15" s="10"/>
      <c r="F15" s="5"/>
      <c r="G15" s="5"/>
      <c r="H15" s="16"/>
    </row>
    <row r="16" spans="1:9">
      <c r="A16" s="4"/>
      <c r="B16" s="10"/>
      <c r="C16" s="5"/>
      <c r="D16" s="12"/>
      <c r="E16" s="10"/>
      <c r="F16" s="5"/>
      <c r="G16" s="5"/>
      <c r="H16" s="16"/>
    </row>
    <row r="17" spans="1:9">
      <c r="A17" s="4"/>
      <c r="B17" s="10"/>
      <c r="C17" s="5"/>
      <c r="D17" s="12"/>
      <c r="E17" s="10"/>
      <c r="F17" s="5"/>
      <c r="G17" s="5"/>
      <c r="H17" s="16"/>
    </row>
    <row r="18" spans="1:9">
      <c r="A18" s="4"/>
      <c r="B18" s="10"/>
      <c r="C18" s="5"/>
      <c r="D18" s="12"/>
      <c r="E18" s="10"/>
      <c r="F18" s="5"/>
      <c r="G18" s="5"/>
      <c r="H18" s="16"/>
    </row>
    <row r="19" spans="1:9">
      <c r="A19" s="7"/>
      <c r="B19" s="11"/>
      <c r="C19" s="8"/>
      <c r="D19" s="13"/>
      <c r="E19" s="11"/>
      <c r="F19" s="8"/>
      <c r="G19" s="8"/>
      <c r="H19" s="17"/>
    </row>
    <row r="21" spans="1:9" ht="15">
      <c r="A21" s="24" t="s">
        <v>49</v>
      </c>
      <c r="B21" s="24"/>
      <c r="C21" s="24"/>
      <c r="D21" s="24"/>
      <c r="E21" s="24"/>
      <c r="F21" s="24"/>
      <c r="G21" s="24"/>
      <c r="H21" s="24"/>
      <c r="I21" s="24"/>
    </row>
    <row r="22" spans="1:9">
      <c r="A22" s="25" t="s">
        <v>108</v>
      </c>
      <c r="B22" s="26"/>
      <c r="C22" s="26"/>
      <c r="D22" s="26"/>
      <c r="E22" s="26"/>
      <c r="F22" s="26"/>
      <c r="G22" s="26"/>
      <c r="H22" s="26"/>
      <c r="I22" s="27"/>
    </row>
    <row r="23" spans="1:9">
      <c r="A23" s="25" t="s">
        <v>109</v>
      </c>
      <c r="B23" s="26"/>
      <c r="C23" s="26"/>
      <c r="D23" s="26"/>
      <c r="E23" s="26"/>
      <c r="F23" s="26"/>
      <c r="G23" s="26"/>
      <c r="H23" s="26"/>
      <c r="I23" s="27"/>
    </row>
    <row r="24" spans="1:9">
      <c r="A24" s="25" t="s">
        <v>110</v>
      </c>
      <c r="B24" s="26"/>
      <c r="C24" s="26"/>
      <c r="D24" s="26"/>
      <c r="E24" s="26"/>
      <c r="F24" s="26"/>
      <c r="G24" s="26"/>
      <c r="H24" s="26"/>
      <c r="I24" s="27"/>
    </row>
    <row r="25" spans="1:9">
      <c r="A25" s="25" t="s">
        <v>111</v>
      </c>
      <c r="B25" s="26"/>
      <c r="C25" s="26"/>
      <c r="D25" s="26"/>
      <c r="E25" s="26"/>
      <c r="F25" s="26"/>
      <c r="G25" s="26"/>
      <c r="H25" s="26"/>
      <c r="I25" s="27"/>
    </row>
    <row r="26" spans="1:9">
      <c r="A26" s="25" t="s">
        <v>112</v>
      </c>
      <c r="B26" s="26"/>
      <c r="C26" s="26"/>
      <c r="D26" s="26"/>
      <c r="E26" s="26"/>
      <c r="F26" s="26"/>
      <c r="G26" s="26"/>
      <c r="H26" s="26"/>
      <c r="I26" s="27"/>
    </row>
  </sheetData>
  <mergeCells count="8">
    <mergeCell ref="A24:I24"/>
    <mergeCell ref="A25:I25"/>
    <mergeCell ref="A26:I26"/>
    <mergeCell ref="A1:I1"/>
    <mergeCell ref="A2:I2"/>
    <mergeCell ref="A21:I21"/>
    <mergeCell ref="A22:I22"/>
    <mergeCell ref="A23:I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'Base Funcionarios'!$B$5:$B$29</xm:f>
          </x14:formula1>
          <xm:sqref>A5:A19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Funcionarios</vt:lpstr>
      <vt:lpstr>1 - PROCV Matricula</vt:lpstr>
      <vt:lpstr>2 - PROCV Nome</vt:lpstr>
      <vt:lpstr>3 - SOMASE Setor</vt:lpstr>
      <vt:lpstr>4 - Tempo e Reajuste</vt:lpstr>
      <vt:lpstr>5 - Calculo Idade</vt:lpstr>
      <vt:lpstr>6 - Desafio Integrado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Samuel Sobral De Freitas</cp:lastModifiedBy>
  <dcterms:modified xsi:type="dcterms:W3CDTF">2026-09-17T20:11:27Z</dcterms:modified>
</cp:coreProperties>
</file>